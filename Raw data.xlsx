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innahan/Documents/Keung Lab/Project of CRISPR/PeerJ/"/>
    </mc:Choice>
  </mc:AlternateContent>
  <xr:revisionPtr revIDLastSave="0" documentId="13_ncr:1_{55AF4DE2-A553-D143-A891-FFA0F4898826}" xr6:coauthVersionLast="47" xr6:coauthVersionMax="47" xr10:uidLastSave="{00000000-0000-0000-0000-000000000000}"/>
  <bookViews>
    <workbookView xWindow="0" yWindow="500" windowWidth="21020" windowHeight="22760" activeTab="5" xr2:uid="{00000000-000D-0000-FFFF-FFFF00000000}"/>
  </bookViews>
  <sheets>
    <sheet name="Fig 1C" sheetId="8" r:id="rId1"/>
    <sheet name="Fig 1D" sheetId="13" r:id="rId2"/>
    <sheet name="Fig 1E" sheetId="15" r:id="rId3"/>
    <sheet name="Fig 1F" sheetId="17" r:id="rId4"/>
    <sheet name="Fig 2, S1" sheetId="18" r:id="rId5"/>
    <sheet name="Table 1" sheetId="25" r:id="rId6"/>
    <sheet name="Fig 3, S2" sheetId="20" r:id="rId7"/>
    <sheet name="Fig 5" sheetId="23" r:id="rId8"/>
    <sheet name="Fig S4" sheetId="24" r:id="rId9"/>
  </sheets>
  <definedNames>
    <definedName name="solver_adj" localSheetId="3" hidden="1">'Fig 1F'!#REF!</definedName>
    <definedName name="solver_adj" localSheetId="4" hidden="1">'Fig 2, S1'!$H$140:$J$140</definedName>
    <definedName name="solver_adj" localSheetId="6" hidden="1">'Fig 3, S2'!#REF!</definedName>
    <definedName name="solver_cvg" localSheetId="3" hidden="1">0.0001</definedName>
    <definedName name="solver_cvg" localSheetId="4" hidden="1">0.0001</definedName>
    <definedName name="solver_cvg" localSheetId="6" hidden="1">0.0001</definedName>
    <definedName name="solver_drv" localSheetId="3" hidden="1">1</definedName>
    <definedName name="solver_drv" localSheetId="4" hidden="1">1</definedName>
    <definedName name="solver_drv" localSheetId="6" hidden="1">1</definedName>
    <definedName name="solver_eng" localSheetId="3" hidden="1">1</definedName>
    <definedName name="solver_eng" localSheetId="4" hidden="1">1</definedName>
    <definedName name="solver_eng" localSheetId="6" hidden="1">1</definedName>
    <definedName name="solver_itr" localSheetId="3" hidden="1">2147483647</definedName>
    <definedName name="solver_itr" localSheetId="4" hidden="1">2147483647</definedName>
    <definedName name="solver_itr" localSheetId="6" hidden="1">2147483647</definedName>
    <definedName name="solver_lin" localSheetId="3" hidden="1">2</definedName>
    <definedName name="solver_lin" localSheetId="4" hidden="1">2</definedName>
    <definedName name="solver_lin" localSheetId="6" hidden="1">2</definedName>
    <definedName name="solver_mip" localSheetId="3" hidden="1">2147483647</definedName>
    <definedName name="solver_mip" localSheetId="4" hidden="1">2147483647</definedName>
    <definedName name="solver_mip" localSheetId="6" hidden="1">2147483647</definedName>
    <definedName name="solver_mni" localSheetId="3" hidden="1">30</definedName>
    <definedName name="solver_mni" localSheetId="4" hidden="1">30</definedName>
    <definedName name="solver_mni" localSheetId="6" hidden="1">30</definedName>
    <definedName name="solver_mrt" localSheetId="3" hidden="1">0.075</definedName>
    <definedName name="solver_mrt" localSheetId="4" hidden="1">0.075</definedName>
    <definedName name="solver_mrt" localSheetId="6" hidden="1">0.075</definedName>
    <definedName name="solver_msl" localSheetId="3" hidden="1">2</definedName>
    <definedName name="solver_msl" localSheetId="4" hidden="1">2</definedName>
    <definedName name="solver_msl" localSheetId="6" hidden="1">2</definedName>
    <definedName name="solver_neg" localSheetId="3" hidden="1">1</definedName>
    <definedName name="solver_neg" localSheetId="4" hidden="1">1</definedName>
    <definedName name="solver_neg" localSheetId="6" hidden="1">1</definedName>
    <definedName name="solver_nod" localSheetId="3" hidden="1">2147483647</definedName>
    <definedName name="solver_nod" localSheetId="4" hidden="1">2147483647</definedName>
    <definedName name="solver_nod" localSheetId="6" hidden="1">2147483647</definedName>
    <definedName name="solver_num" localSheetId="3" hidden="1">0</definedName>
    <definedName name="solver_num" localSheetId="4" hidden="1">0</definedName>
    <definedName name="solver_num" localSheetId="6" hidden="1">0</definedName>
    <definedName name="solver_opt" localSheetId="3" hidden="1">'Fig 1F'!#REF!</definedName>
    <definedName name="solver_opt" localSheetId="4" hidden="1">'Fig 2, S1'!$M$140</definedName>
    <definedName name="solver_opt" localSheetId="6" hidden="1">'Fig 3, S2'!#REF!</definedName>
    <definedName name="solver_pre" localSheetId="3" hidden="1">0.000001</definedName>
    <definedName name="solver_pre" localSheetId="4" hidden="1">0.000001</definedName>
    <definedName name="solver_pre" localSheetId="6" hidden="1">0.000001</definedName>
    <definedName name="solver_rbv" localSheetId="3" hidden="1">1</definedName>
    <definedName name="solver_rbv" localSheetId="4" hidden="1">1</definedName>
    <definedName name="solver_rbv" localSheetId="6" hidden="1">1</definedName>
    <definedName name="solver_rlx" localSheetId="3" hidden="1">2</definedName>
    <definedName name="solver_rlx" localSheetId="4" hidden="1">2</definedName>
    <definedName name="solver_rlx" localSheetId="6" hidden="1">2</definedName>
    <definedName name="solver_rsd" localSheetId="3" hidden="1">0</definedName>
    <definedName name="solver_rsd" localSheetId="4" hidden="1">0</definedName>
    <definedName name="solver_rsd" localSheetId="6" hidden="1">0</definedName>
    <definedName name="solver_scl" localSheetId="3" hidden="1">1</definedName>
    <definedName name="solver_scl" localSheetId="4" hidden="1">1</definedName>
    <definedName name="solver_scl" localSheetId="6" hidden="1">1</definedName>
    <definedName name="solver_sho" localSheetId="3" hidden="1">2</definedName>
    <definedName name="solver_sho" localSheetId="4" hidden="1">2</definedName>
    <definedName name="solver_sho" localSheetId="6" hidden="1">2</definedName>
    <definedName name="solver_ssz" localSheetId="3" hidden="1">100</definedName>
    <definedName name="solver_ssz" localSheetId="4" hidden="1">100</definedName>
    <definedName name="solver_ssz" localSheetId="6" hidden="1">100</definedName>
    <definedName name="solver_tim" localSheetId="3" hidden="1">2147483647</definedName>
    <definedName name="solver_tim" localSheetId="4" hidden="1">2147483647</definedName>
    <definedName name="solver_tim" localSheetId="6" hidden="1">2147483647</definedName>
    <definedName name="solver_tol" localSheetId="3" hidden="1">0.01</definedName>
    <definedName name="solver_tol" localSheetId="4" hidden="1">0.01</definedName>
    <definedName name="solver_tol" localSheetId="6" hidden="1">0.01</definedName>
    <definedName name="solver_typ" localSheetId="3" hidden="1">2</definedName>
    <definedName name="solver_typ" localSheetId="4" hidden="1">2</definedName>
    <definedName name="solver_typ" localSheetId="6" hidden="1">2</definedName>
    <definedName name="solver_val" localSheetId="3" hidden="1">0</definedName>
    <definedName name="solver_val" localSheetId="4" hidden="1">0</definedName>
    <definedName name="solver_val" localSheetId="6" hidden="1">0</definedName>
    <definedName name="solver_ver" localSheetId="3" hidden="1">2</definedName>
    <definedName name="solver_ver" localSheetId="4" hidden="1">2</definedName>
    <definedName name="solver_ver" localSheetId="6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2PKknuKEt4cDiaLhE4afuMOG8JuNoiBX/8LrKR0BORs="/>
    </ext>
  </extLst>
</workbook>
</file>

<file path=xl/calcChain.xml><?xml version="1.0" encoding="utf-8"?>
<calcChain xmlns="http://schemas.openxmlformats.org/spreadsheetml/2006/main">
  <c r="K145" i="18" l="1"/>
  <c r="L145" i="18" s="1"/>
  <c r="K146" i="18"/>
  <c r="L146" i="18" s="1"/>
  <c r="K147" i="18"/>
  <c r="L147" i="18" s="1"/>
  <c r="K148" i="18"/>
  <c r="L148" i="18" s="1"/>
  <c r="K149" i="18"/>
  <c r="L149" i="18" s="1"/>
  <c r="K150" i="18"/>
  <c r="L150" i="18" s="1"/>
  <c r="K151" i="18"/>
  <c r="L151" i="18" s="1"/>
  <c r="K152" i="18"/>
  <c r="L152" i="18" s="1"/>
  <c r="K153" i="18"/>
  <c r="L153" i="18" s="1"/>
  <c r="K154" i="18"/>
  <c r="L154" i="18" s="1"/>
  <c r="K155" i="18"/>
  <c r="L155" i="18" s="1"/>
  <c r="K156" i="18"/>
  <c r="L156" i="18" s="1"/>
  <c r="K157" i="18"/>
  <c r="L157" i="18" s="1"/>
  <c r="D145" i="18"/>
  <c r="E145" i="18" s="1"/>
  <c r="D146" i="18"/>
  <c r="E146" i="18" s="1"/>
  <c r="D147" i="18"/>
  <c r="E147" i="18" s="1"/>
  <c r="D148" i="18"/>
  <c r="E148" i="18" s="1"/>
  <c r="D149" i="18"/>
  <c r="E149" i="18" s="1"/>
  <c r="D150" i="18"/>
  <c r="E150" i="18" s="1"/>
  <c r="D151" i="18"/>
  <c r="E151" i="18" s="1"/>
  <c r="D152" i="18"/>
  <c r="E152" i="18" s="1"/>
  <c r="D153" i="18"/>
  <c r="E153" i="18" s="1"/>
  <c r="D154" i="18"/>
  <c r="E154" i="18" s="1"/>
  <c r="D155" i="18"/>
  <c r="E155" i="18" s="1"/>
  <c r="D156" i="18"/>
  <c r="E156" i="18" s="1"/>
  <c r="D157" i="18"/>
  <c r="E157" i="18" s="1"/>
  <c r="K125" i="18"/>
  <c r="L125" i="18" s="1"/>
  <c r="K126" i="18"/>
  <c r="L126" i="18" s="1"/>
  <c r="K127" i="18"/>
  <c r="L127" i="18" s="1"/>
  <c r="K128" i="18"/>
  <c r="L128" i="18" s="1"/>
  <c r="K129" i="18"/>
  <c r="L129" i="18" s="1"/>
  <c r="K130" i="18"/>
  <c r="L130" i="18" s="1"/>
  <c r="K131" i="18"/>
  <c r="L131" i="18" s="1"/>
  <c r="K132" i="18"/>
  <c r="L132" i="18" s="1"/>
  <c r="K133" i="18"/>
  <c r="L133" i="18" s="1"/>
  <c r="K134" i="18"/>
  <c r="L134" i="18" s="1"/>
  <c r="K135" i="18"/>
  <c r="L135" i="18" s="1"/>
  <c r="K136" i="18"/>
  <c r="L136" i="18" s="1"/>
  <c r="K137" i="18"/>
  <c r="L137" i="18" s="1"/>
  <c r="D125" i="18"/>
  <c r="E125" i="18" s="1"/>
  <c r="D126" i="18"/>
  <c r="E126" i="18" s="1"/>
  <c r="D127" i="18"/>
  <c r="E127" i="18" s="1"/>
  <c r="D128" i="18"/>
  <c r="E128" i="18" s="1"/>
  <c r="D129" i="18"/>
  <c r="E129" i="18" s="1"/>
  <c r="D130" i="18"/>
  <c r="E130" i="18" s="1"/>
  <c r="D131" i="18"/>
  <c r="E131" i="18" s="1"/>
  <c r="D132" i="18"/>
  <c r="E132" i="18" s="1"/>
  <c r="D133" i="18"/>
  <c r="E133" i="18" s="1"/>
  <c r="D134" i="18"/>
  <c r="E134" i="18" s="1"/>
  <c r="D135" i="18"/>
  <c r="E135" i="18" s="1"/>
  <c r="D136" i="18"/>
  <c r="E136" i="18" s="1"/>
  <c r="D137" i="18"/>
  <c r="E137" i="18" s="1"/>
  <c r="K36" i="24"/>
  <c r="K35" i="24"/>
  <c r="K34" i="24"/>
  <c r="K33" i="24"/>
  <c r="J29" i="24"/>
  <c r="I29" i="24"/>
  <c r="H29" i="24"/>
  <c r="G29" i="24"/>
  <c r="N29" i="24" s="1"/>
  <c r="F29" i="24"/>
  <c r="E29" i="24"/>
  <c r="D29" i="24"/>
  <c r="C29" i="24"/>
  <c r="J28" i="24"/>
  <c r="I28" i="24"/>
  <c r="H28" i="24"/>
  <c r="G28" i="24"/>
  <c r="F28" i="24"/>
  <c r="E28" i="24"/>
  <c r="D28" i="24"/>
  <c r="C28" i="24"/>
  <c r="M28" i="24" s="1"/>
  <c r="N26" i="24"/>
  <c r="M26" i="24"/>
  <c r="L26" i="24"/>
  <c r="K26" i="24"/>
  <c r="J22" i="24"/>
  <c r="I22" i="24"/>
  <c r="H22" i="24"/>
  <c r="G22" i="24"/>
  <c r="F22" i="24"/>
  <c r="E22" i="24"/>
  <c r="D22" i="24"/>
  <c r="C22" i="24"/>
  <c r="J21" i="24"/>
  <c r="I21" i="24"/>
  <c r="H21" i="24"/>
  <c r="N21" i="24" s="1"/>
  <c r="G21" i="24"/>
  <c r="F21" i="24"/>
  <c r="E21" i="24"/>
  <c r="D21" i="24"/>
  <c r="C21" i="24"/>
  <c r="N19" i="24"/>
  <c r="M19" i="24"/>
  <c r="L19" i="24"/>
  <c r="K19" i="24"/>
  <c r="J15" i="24"/>
  <c r="I15" i="24"/>
  <c r="H15" i="24"/>
  <c r="G15" i="24"/>
  <c r="F15" i="24"/>
  <c r="E15" i="24"/>
  <c r="D15" i="24"/>
  <c r="C15" i="24"/>
  <c r="J14" i="24"/>
  <c r="I14" i="24"/>
  <c r="H14" i="24"/>
  <c r="G14" i="24"/>
  <c r="F14" i="24"/>
  <c r="E14" i="24"/>
  <c r="D14" i="24"/>
  <c r="C14" i="24"/>
  <c r="N12" i="24"/>
  <c r="M12" i="24"/>
  <c r="L12" i="24"/>
  <c r="K12" i="24"/>
  <c r="J8" i="24"/>
  <c r="I8" i="24"/>
  <c r="H8" i="24"/>
  <c r="G8" i="24"/>
  <c r="F8" i="24"/>
  <c r="E8" i="24"/>
  <c r="D8" i="24"/>
  <c r="C8" i="24"/>
  <c r="K8" i="24" s="1"/>
  <c r="J7" i="24"/>
  <c r="I7" i="24"/>
  <c r="H7" i="24"/>
  <c r="G7" i="24"/>
  <c r="F7" i="24"/>
  <c r="E7" i="24"/>
  <c r="D7" i="24"/>
  <c r="C7" i="24"/>
  <c r="K7" i="24" s="1"/>
  <c r="N5" i="24"/>
  <c r="M5" i="24"/>
  <c r="L5" i="24"/>
  <c r="K5" i="24"/>
  <c r="K14" i="24" l="1"/>
  <c r="N28" i="24"/>
  <c r="N15" i="24"/>
  <c r="M15" i="24"/>
  <c r="N16" i="24" s="1"/>
  <c r="N7" i="24"/>
  <c r="L8" i="24"/>
  <c r="M29" i="24"/>
  <c r="N30" i="24" s="1"/>
  <c r="K21" i="24"/>
  <c r="L21" i="24"/>
  <c r="N8" i="24"/>
  <c r="N9" i="24" s="1"/>
  <c r="N14" i="24"/>
  <c r="M21" i="24"/>
  <c r="M22" i="24"/>
  <c r="L28" i="24"/>
  <c r="L29" i="24"/>
  <c r="M14" i="24"/>
  <c r="M8" i="24"/>
  <c r="N22" i="24"/>
  <c r="K29" i="24"/>
  <c r="L14" i="24"/>
  <c r="L15" i="24"/>
  <c r="L9" i="24"/>
  <c r="K22" i="24"/>
  <c r="L7" i="24"/>
  <c r="L22" i="24"/>
  <c r="M7" i="24"/>
  <c r="K15" i="24"/>
  <c r="K28" i="24"/>
  <c r="L30" i="24" l="1"/>
  <c r="N23" i="24"/>
  <c r="L16" i="24"/>
  <c r="L23" i="24"/>
  <c r="M55" i="23"/>
  <c r="L55" i="23"/>
  <c r="K55" i="23"/>
  <c r="J55" i="23"/>
  <c r="G55" i="23"/>
  <c r="N55" i="23" s="1"/>
  <c r="M54" i="23"/>
  <c r="L54" i="23"/>
  <c r="K54" i="23"/>
  <c r="J54" i="23"/>
  <c r="G54" i="23"/>
  <c r="N54" i="23" s="1"/>
  <c r="M53" i="23"/>
  <c r="L53" i="23"/>
  <c r="K53" i="23"/>
  <c r="J53" i="23"/>
  <c r="G53" i="23"/>
  <c r="N53" i="23" s="1"/>
  <c r="M52" i="23"/>
  <c r="L52" i="23"/>
  <c r="K52" i="23"/>
  <c r="J52" i="23"/>
  <c r="G52" i="23"/>
  <c r="N52" i="23" s="1"/>
  <c r="M51" i="23"/>
  <c r="L51" i="23"/>
  <c r="K51" i="23"/>
  <c r="J51" i="23"/>
  <c r="G51" i="23"/>
  <c r="N51" i="23" s="1"/>
  <c r="M50" i="23"/>
  <c r="L50" i="23"/>
  <c r="K50" i="23"/>
  <c r="J50" i="23"/>
  <c r="G50" i="23"/>
  <c r="N50" i="23" s="1"/>
  <c r="M49" i="23"/>
  <c r="L49" i="23"/>
  <c r="K49" i="23"/>
  <c r="J49" i="23"/>
  <c r="G49" i="23"/>
  <c r="N49" i="23" s="1"/>
  <c r="M48" i="23"/>
  <c r="L48" i="23"/>
  <c r="K48" i="23"/>
  <c r="J48" i="23"/>
  <c r="G48" i="23"/>
  <c r="N48" i="23" s="1"/>
  <c r="M47" i="23"/>
  <c r="L47" i="23"/>
  <c r="K47" i="23"/>
  <c r="J47" i="23"/>
  <c r="G47" i="23"/>
  <c r="N47" i="23" s="1"/>
  <c r="M46" i="23"/>
  <c r="L46" i="23"/>
  <c r="K46" i="23"/>
  <c r="J46" i="23"/>
  <c r="G46" i="23"/>
  <c r="N46" i="23" s="1"/>
  <c r="N45" i="23"/>
  <c r="F45" i="23"/>
  <c r="M45" i="23" s="1"/>
  <c r="E45" i="23"/>
  <c r="L45" i="23" s="1"/>
  <c r="D45" i="23"/>
  <c r="K45" i="23" s="1"/>
  <c r="C45" i="23"/>
  <c r="J45" i="23" s="1"/>
  <c r="N44" i="23"/>
  <c r="F44" i="23"/>
  <c r="M44" i="23" s="1"/>
  <c r="E44" i="23"/>
  <c r="L44" i="23" s="1"/>
  <c r="D44" i="23"/>
  <c r="K44" i="23" s="1"/>
  <c r="C44" i="23"/>
  <c r="J44" i="23" s="1"/>
  <c r="N43" i="23"/>
  <c r="F43" i="23"/>
  <c r="M43" i="23" s="1"/>
  <c r="E43" i="23"/>
  <c r="L43" i="23" s="1"/>
  <c r="D43" i="23"/>
  <c r="K43" i="23" s="1"/>
  <c r="C43" i="23"/>
  <c r="J43" i="23" s="1"/>
  <c r="N42" i="23"/>
  <c r="M42" i="23"/>
  <c r="L42" i="23"/>
  <c r="K42" i="23"/>
  <c r="J42" i="23"/>
  <c r="N41" i="23"/>
  <c r="M41" i="23"/>
  <c r="L41" i="23"/>
  <c r="K41" i="23"/>
  <c r="J41" i="23"/>
  <c r="N40" i="23"/>
  <c r="M40" i="23"/>
  <c r="L40" i="23"/>
  <c r="K40" i="23"/>
  <c r="J40" i="23"/>
  <c r="S36" i="23"/>
  <c r="R36" i="23"/>
  <c r="Q36" i="23"/>
  <c r="P36" i="23"/>
  <c r="O36" i="23"/>
  <c r="M36" i="23"/>
  <c r="L36" i="23"/>
  <c r="K36" i="23"/>
  <c r="J36" i="23"/>
  <c r="I36" i="23"/>
  <c r="S35" i="23"/>
  <c r="R35" i="23"/>
  <c r="Q35" i="23"/>
  <c r="P35" i="23"/>
  <c r="O35" i="23"/>
  <c r="M35" i="23"/>
  <c r="L35" i="23"/>
  <c r="K35" i="23"/>
  <c r="J35" i="23"/>
  <c r="I35" i="23"/>
  <c r="S34" i="23"/>
  <c r="R34" i="23"/>
  <c r="Q34" i="23"/>
  <c r="P34" i="23"/>
  <c r="O34" i="23"/>
  <c r="M34" i="23"/>
  <c r="L34" i="23"/>
  <c r="K34" i="23"/>
  <c r="J34" i="23"/>
  <c r="I34" i="23"/>
  <c r="S33" i="23"/>
  <c r="R33" i="23"/>
  <c r="Q33" i="23"/>
  <c r="P33" i="23"/>
  <c r="O33" i="23"/>
  <c r="M33" i="23"/>
  <c r="L33" i="23"/>
  <c r="K33" i="23"/>
  <c r="J33" i="23"/>
  <c r="I33" i="23"/>
  <c r="S32" i="23"/>
  <c r="R32" i="23"/>
  <c r="Q32" i="23"/>
  <c r="P32" i="23"/>
  <c r="O32" i="23"/>
  <c r="M32" i="23"/>
  <c r="L32" i="23"/>
  <c r="K32" i="23"/>
  <c r="J32" i="23"/>
  <c r="I32" i="23"/>
  <c r="S31" i="23"/>
  <c r="R31" i="23"/>
  <c r="Q31" i="23"/>
  <c r="P31" i="23"/>
  <c r="O31" i="23"/>
  <c r="M31" i="23"/>
  <c r="L31" i="23"/>
  <c r="K31" i="23"/>
  <c r="J31" i="23"/>
  <c r="I31" i="23"/>
  <c r="S30" i="23"/>
  <c r="R30" i="23"/>
  <c r="Q30" i="23"/>
  <c r="P30" i="23"/>
  <c r="O30" i="23"/>
  <c r="M30" i="23"/>
  <c r="L30" i="23"/>
  <c r="K30" i="23"/>
  <c r="J30" i="23"/>
  <c r="I30" i="23"/>
  <c r="S29" i="23"/>
  <c r="R29" i="23"/>
  <c r="Q29" i="23"/>
  <c r="P29" i="23"/>
  <c r="O29" i="23"/>
  <c r="M29" i="23"/>
  <c r="L29" i="23"/>
  <c r="K29" i="23"/>
  <c r="J29" i="23"/>
  <c r="I29" i="23"/>
  <c r="S28" i="23"/>
  <c r="R28" i="23"/>
  <c r="Q28" i="23"/>
  <c r="P28" i="23"/>
  <c r="O28" i="23"/>
  <c r="M28" i="23"/>
  <c r="L28" i="23"/>
  <c r="K28" i="23"/>
  <c r="J28" i="23"/>
  <c r="I28" i="23"/>
  <c r="S27" i="23"/>
  <c r="R27" i="23"/>
  <c r="Q27" i="23"/>
  <c r="P27" i="23"/>
  <c r="O27" i="23"/>
  <c r="M27" i="23"/>
  <c r="L27" i="23"/>
  <c r="K27" i="23"/>
  <c r="J27" i="23"/>
  <c r="I27" i="23"/>
  <c r="M26" i="23"/>
  <c r="L26" i="23"/>
  <c r="K26" i="23"/>
  <c r="J26" i="23"/>
  <c r="I26" i="23"/>
  <c r="M25" i="23"/>
  <c r="L25" i="23"/>
  <c r="K25" i="23"/>
  <c r="J25" i="23"/>
  <c r="I25" i="23"/>
  <c r="M24" i="23"/>
  <c r="L24" i="23"/>
  <c r="K24" i="23"/>
  <c r="J24" i="23"/>
  <c r="I24" i="23"/>
  <c r="M23" i="23"/>
  <c r="L23" i="23"/>
  <c r="K23" i="23"/>
  <c r="J23" i="23"/>
  <c r="I23" i="23"/>
  <c r="M22" i="23"/>
  <c r="L22" i="23"/>
  <c r="K22" i="23"/>
  <c r="J22" i="23"/>
  <c r="I22" i="23"/>
  <c r="L21" i="23"/>
  <c r="K21" i="23"/>
  <c r="J21" i="23"/>
  <c r="I21" i="23"/>
  <c r="R29" i="20" l="1"/>
  <c r="S29" i="20" s="1"/>
  <c r="T29" i="20" s="1"/>
  <c r="R31" i="20"/>
  <c r="S31" i="20" s="1"/>
  <c r="T31" i="20"/>
  <c r="R33" i="20"/>
  <c r="S33" i="20" s="1"/>
  <c r="T33" i="20" s="1"/>
  <c r="B36" i="20"/>
  <c r="P36" i="20"/>
  <c r="P35" i="20" s="1"/>
  <c r="P34" i="20" s="1"/>
  <c r="P33" i="20" s="1"/>
  <c r="P32" i="20" s="1"/>
  <c r="P31" i="20" s="1"/>
  <c r="P30" i="20" s="1"/>
  <c r="P29" i="20" s="1"/>
  <c r="P28" i="20" s="1"/>
  <c r="P27" i="20" s="1"/>
  <c r="P26" i="20" s="1"/>
  <c r="P25" i="20" s="1"/>
  <c r="P24" i="20" s="1"/>
  <c r="R24" i="20" s="1"/>
  <c r="S24" i="20" s="1"/>
  <c r="R36" i="20"/>
  <c r="S36" i="20" s="1"/>
  <c r="T36" i="20"/>
  <c r="D37" i="20"/>
  <c r="E37" i="20"/>
  <c r="F37" i="20" s="1"/>
  <c r="R37" i="20"/>
  <c r="S37" i="20" s="1"/>
  <c r="T37" i="20" s="1"/>
  <c r="B56" i="20"/>
  <c r="B55" i="20" s="1"/>
  <c r="D56" i="20"/>
  <c r="E56" i="20"/>
  <c r="F56" i="20" s="1"/>
  <c r="P56" i="20"/>
  <c r="P55" i="20" s="1"/>
  <c r="R56" i="20"/>
  <c r="S56" i="20"/>
  <c r="T56" i="20"/>
  <c r="D57" i="20"/>
  <c r="E57" i="20"/>
  <c r="F57" i="20"/>
  <c r="R57" i="20"/>
  <c r="S57" i="20" s="1"/>
  <c r="T57" i="20" s="1"/>
  <c r="B76" i="20"/>
  <c r="P76" i="20"/>
  <c r="P75" i="20" s="1"/>
  <c r="R76" i="20"/>
  <c r="S76" i="20" s="1"/>
  <c r="T76" i="20" s="1"/>
  <c r="D77" i="20"/>
  <c r="E77" i="20"/>
  <c r="F77" i="20"/>
  <c r="R77" i="20"/>
  <c r="S77" i="20" s="1"/>
  <c r="T77" i="20" s="1"/>
  <c r="B96" i="20"/>
  <c r="B95" i="20" s="1"/>
  <c r="B94" i="20" s="1"/>
  <c r="D96" i="20"/>
  <c r="E96" i="20"/>
  <c r="F96" i="20" s="1"/>
  <c r="P96" i="20"/>
  <c r="P95" i="20" s="1"/>
  <c r="R96" i="20"/>
  <c r="S96" i="20"/>
  <c r="T96" i="20" s="1"/>
  <c r="D97" i="20"/>
  <c r="E97" i="20" s="1"/>
  <c r="F97" i="20" s="1"/>
  <c r="R97" i="20"/>
  <c r="S97" i="20" s="1"/>
  <c r="T97" i="20" s="1"/>
  <c r="B116" i="20"/>
  <c r="P116" i="20"/>
  <c r="P115" i="20" s="1"/>
  <c r="R115" i="20" s="1"/>
  <c r="S115" i="20" s="1"/>
  <c r="T115" i="20" s="1"/>
  <c r="R116" i="20"/>
  <c r="S116" i="20" s="1"/>
  <c r="T116" i="20" s="1"/>
  <c r="D117" i="20"/>
  <c r="E117" i="20"/>
  <c r="F117" i="20" s="1"/>
  <c r="R117" i="20"/>
  <c r="S117" i="20" s="1"/>
  <c r="T117" i="20" s="1"/>
  <c r="B136" i="20"/>
  <c r="P136" i="20"/>
  <c r="P135" i="20" s="1"/>
  <c r="P134" i="20" s="1"/>
  <c r="P133" i="20" s="1"/>
  <c r="P132" i="20" s="1"/>
  <c r="P131" i="20" s="1"/>
  <c r="D137" i="20"/>
  <c r="E137" i="20" s="1"/>
  <c r="F137" i="20" s="1"/>
  <c r="R137" i="20"/>
  <c r="S137" i="20" s="1"/>
  <c r="T137" i="20"/>
  <c r="AA140" i="20"/>
  <c r="P74" i="20" l="1"/>
  <c r="R75" i="20"/>
  <c r="S75" i="20" s="1"/>
  <c r="T75" i="20" s="1"/>
  <c r="B54" i="20"/>
  <c r="B53" i="20" s="1"/>
  <c r="D55" i="20"/>
  <c r="E55" i="20" s="1"/>
  <c r="F55" i="20" s="1"/>
  <c r="R27" i="20"/>
  <c r="S27" i="20" s="1"/>
  <c r="T27" i="20" s="1"/>
  <c r="R133" i="20"/>
  <c r="S133" i="20" s="1"/>
  <c r="T133" i="20" s="1"/>
  <c r="D95" i="20"/>
  <c r="E95" i="20" s="1"/>
  <c r="F95" i="20" s="1"/>
  <c r="R135" i="20"/>
  <c r="S135" i="20" s="1"/>
  <c r="T135" i="20" s="1"/>
  <c r="R136" i="20"/>
  <c r="S136" i="20" s="1"/>
  <c r="T136" i="20" s="1"/>
  <c r="R35" i="20"/>
  <c r="S35" i="20" s="1"/>
  <c r="T35" i="20" s="1"/>
  <c r="R25" i="20"/>
  <c r="S25" i="20" s="1"/>
  <c r="T25" i="20" s="1"/>
  <c r="T40" i="20" s="1"/>
  <c r="R74" i="20"/>
  <c r="S74" i="20" s="1"/>
  <c r="T74" i="20" s="1"/>
  <c r="P73" i="20"/>
  <c r="D76" i="20"/>
  <c r="E76" i="20" s="1"/>
  <c r="F76" i="20" s="1"/>
  <c r="B75" i="20"/>
  <c r="D54" i="20"/>
  <c r="E54" i="20" s="1"/>
  <c r="F54" i="20" s="1"/>
  <c r="B115" i="20"/>
  <c r="D116" i="20"/>
  <c r="E116" i="20" s="1"/>
  <c r="F116" i="20" s="1"/>
  <c r="R95" i="20"/>
  <c r="S95" i="20" s="1"/>
  <c r="T95" i="20" s="1"/>
  <c r="P94" i="20"/>
  <c r="P114" i="20"/>
  <c r="P130" i="20"/>
  <c r="R131" i="20"/>
  <c r="S131" i="20" s="1"/>
  <c r="T131" i="20" s="1"/>
  <c r="R134" i="20"/>
  <c r="S134" i="20" s="1"/>
  <c r="T134" i="20" s="1"/>
  <c r="R132" i="20"/>
  <c r="S132" i="20" s="1"/>
  <c r="T132" i="20" s="1"/>
  <c r="B93" i="20"/>
  <c r="D94" i="20"/>
  <c r="E94" i="20" s="1"/>
  <c r="F94" i="20" s="1"/>
  <c r="B135" i="20"/>
  <c r="D136" i="20"/>
  <c r="E136" i="20" s="1"/>
  <c r="F136" i="20" s="1"/>
  <c r="B35" i="20"/>
  <c r="D36" i="20"/>
  <c r="E36" i="20" s="1"/>
  <c r="F36" i="20" s="1"/>
  <c r="P54" i="20"/>
  <c r="R55" i="20"/>
  <c r="S55" i="20" s="1"/>
  <c r="T55" i="20" s="1"/>
  <c r="R34" i="20"/>
  <c r="S34" i="20" s="1"/>
  <c r="T34" i="20" s="1"/>
  <c r="R32" i="20"/>
  <c r="S32" i="20" s="1"/>
  <c r="T32" i="20" s="1"/>
  <c r="R30" i="20"/>
  <c r="S30" i="20" s="1"/>
  <c r="T30" i="20" s="1"/>
  <c r="R28" i="20"/>
  <c r="S28" i="20" s="1"/>
  <c r="T28" i="20" s="1"/>
  <c r="R26" i="20"/>
  <c r="S26" i="20" s="1"/>
  <c r="T26" i="20" s="1"/>
  <c r="K17" i="20"/>
  <c r="L17" i="20" s="1"/>
  <c r="M17" i="20" s="1"/>
  <c r="I16" i="20"/>
  <c r="I15" i="20" s="1"/>
  <c r="D17" i="20"/>
  <c r="E17" i="20" s="1"/>
  <c r="F17" i="20" s="1"/>
  <c r="B16" i="20"/>
  <c r="B15" i="20" s="1"/>
  <c r="D15" i="20" s="1"/>
  <c r="E15" i="20" s="1"/>
  <c r="F15" i="20" s="1"/>
  <c r="D75" i="20" l="1"/>
  <c r="E75" i="20" s="1"/>
  <c r="F75" i="20" s="1"/>
  <c r="B74" i="20"/>
  <c r="B92" i="20"/>
  <c r="D93" i="20"/>
  <c r="E93" i="20" s="1"/>
  <c r="F93" i="20" s="1"/>
  <c r="P53" i="20"/>
  <c r="R54" i="20"/>
  <c r="S54" i="20" s="1"/>
  <c r="T54" i="20" s="1"/>
  <c r="B114" i="20"/>
  <c r="D115" i="20"/>
  <c r="E115" i="20" s="1"/>
  <c r="F115" i="20" s="1"/>
  <c r="D53" i="20"/>
  <c r="E53" i="20" s="1"/>
  <c r="F53" i="20" s="1"/>
  <c r="B52" i="20"/>
  <c r="D35" i="20"/>
  <c r="E35" i="20" s="1"/>
  <c r="F35" i="20" s="1"/>
  <c r="B34" i="20"/>
  <c r="P129" i="20"/>
  <c r="R130" i="20"/>
  <c r="S130" i="20" s="1"/>
  <c r="T130" i="20" s="1"/>
  <c r="R114" i="20"/>
  <c r="S114" i="20" s="1"/>
  <c r="T114" i="20" s="1"/>
  <c r="P113" i="20"/>
  <c r="B134" i="20"/>
  <c r="D135" i="20"/>
  <c r="E135" i="20" s="1"/>
  <c r="F135" i="20" s="1"/>
  <c r="R94" i="20"/>
  <c r="S94" i="20" s="1"/>
  <c r="T94" i="20" s="1"/>
  <c r="P93" i="20"/>
  <c r="R73" i="20"/>
  <c r="S73" i="20" s="1"/>
  <c r="T73" i="20" s="1"/>
  <c r="P72" i="20"/>
  <c r="K16" i="20"/>
  <c r="L16" i="20" s="1"/>
  <c r="M16" i="20" s="1"/>
  <c r="B14" i="20"/>
  <c r="D16" i="20"/>
  <c r="E16" i="20" s="1"/>
  <c r="F16" i="20" s="1"/>
  <c r="K15" i="20"/>
  <c r="L15" i="20" s="1"/>
  <c r="M15" i="20" s="1"/>
  <c r="I14" i="20"/>
  <c r="R72" i="20" l="1"/>
  <c r="S72" i="20" s="1"/>
  <c r="T72" i="20" s="1"/>
  <c r="P71" i="20"/>
  <c r="P128" i="20"/>
  <c r="R129" i="20"/>
  <c r="S129" i="20" s="1"/>
  <c r="T129" i="20" s="1"/>
  <c r="P52" i="20"/>
  <c r="R53" i="20"/>
  <c r="S53" i="20" s="1"/>
  <c r="T53" i="20" s="1"/>
  <c r="R93" i="20"/>
  <c r="S93" i="20" s="1"/>
  <c r="T93" i="20" s="1"/>
  <c r="P92" i="20"/>
  <c r="B33" i="20"/>
  <c r="D34" i="20"/>
  <c r="E34" i="20" s="1"/>
  <c r="F34" i="20" s="1"/>
  <c r="D52" i="20"/>
  <c r="E52" i="20" s="1"/>
  <c r="F52" i="20" s="1"/>
  <c r="B51" i="20"/>
  <c r="B73" i="20"/>
  <c r="D74" i="20"/>
  <c r="E74" i="20" s="1"/>
  <c r="F74" i="20" s="1"/>
  <c r="R113" i="20"/>
  <c r="S113" i="20" s="1"/>
  <c r="T113" i="20" s="1"/>
  <c r="P112" i="20"/>
  <c r="D114" i="20"/>
  <c r="E114" i="20" s="1"/>
  <c r="F114" i="20" s="1"/>
  <c r="B113" i="20"/>
  <c r="B91" i="20"/>
  <c r="D92" i="20"/>
  <c r="E92" i="20" s="1"/>
  <c r="F92" i="20" s="1"/>
  <c r="B133" i="20"/>
  <c r="D134" i="20"/>
  <c r="E134" i="20" s="1"/>
  <c r="F134" i="20" s="1"/>
  <c r="K14" i="20"/>
  <c r="L14" i="20" s="1"/>
  <c r="M14" i="20" s="1"/>
  <c r="I13" i="20"/>
  <c r="B13" i="20"/>
  <c r="D14" i="20"/>
  <c r="E14" i="20" s="1"/>
  <c r="F14" i="20" s="1"/>
  <c r="P91" i="20" l="1"/>
  <c r="R92" i="20"/>
  <c r="S92" i="20" s="1"/>
  <c r="T92" i="20" s="1"/>
  <c r="P111" i="20"/>
  <c r="R112" i="20"/>
  <c r="S112" i="20" s="1"/>
  <c r="T112" i="20" s="1"/>
  <c r="B72" i="20"/>
  <c r="D73" i="20"/>
  <c r="E73" i="20" s="1"/>
  <c r="F73" i="20" s="1"/>
  <c r="P127" i="20"/>
  <c r="R128" i="20"/>
  <c r="S128" i="20" s="1"/>
  <c r="T128" i="20" s="1"/>
  <c r="B132" i="20"/>
  <c r="D133" i="20"/>
  <c r="E133" i="20" s="1"/>
  <c r="F133" i="20" s="1"/>
  <c r="P51" i="20"/>
  <c r="R52" i="20"/>
  <c r="S52" i="20" s="1"/>
  <c r="T52" i="20" s="1"/>
  <c r="B50" i="20"/>
  <c r="D51" i="20"/>
  <c r="E51" i="20" s="1"/>
  <c r="F51" i="20" s="1"/>
  <c r="B90" i="20"/>
  <c r="D91" i="20"/>
  <c r="E91" i="20" s="1"/>
  <c r="F91" i="20" s="1"/>
  <c r="B112" i="20"/>
  <c r="D113" i="20"/>
  <c r="E113" i="20" s="1"/>
  <c r="F113" i="20" s="1"/>
  <c r="P70" i="20"/>
  <c r="R71" i="20"/>
  <c r="S71" i="20" s="1"/>
  <c r="T71" i="20" s="1"/>
  <c r="D33" i="20"/>
  <c r="E33" i="20" s="1"/>
  <c r="F33" i="20" s="1"/>
  <c r="B32" i="20"/>
  <c r="I12" i="20"/>
  <c r="K13" i="20"/>
  <c r="L13" i="20" s="1"/>
  <c r="M13" i="20" s="1"/>
  <c r="D13" i="20"/>
  <c r="E13" i="20" s="1"/>
  <c r="F13" i="20" s="1"/>
  <c r="B12" i="20"/>
  <c r="B89" i="20" l="1"/>
  <c r="D90" i="20"/>
  <c r="E90" i="20" s="1"/>
  <c r="F90" i="20" s="1"/>
  <c r="P126" i="20"/>
  <c r="R127" i="20"/>
  <c r="S127" i="20" s="1"/>
  <c r="T127" i="20" s="1"/>
  <c r="B31" i="20"/>
  <c r="D32" i="20"/>
  <c r="E32" i="20" s="1"/>
  <c r="F32" i="20" s="1"/>
  <c r="D50" i="20"/>
  <c r="E50" i="20" s="1"/>
  <c r="F50" i="20" s="1"/>
  <c r="B49" i="20"/>
  <c r="D72" i="20"/>
  <c r="E72" i="20" s="1"/>
  <c r="F72" i="20" s="1"/>
  <c r="B71" i="20"/>
  <c r="R70" i="20"/>
  <c r="S70" i="20" s="1"/>
  <c r="T70" i="20" s="1"/>
  <c r="P69" i="20"/>
  <c r="P50" i="20"/>
  <c r="R51" i="20"/>
  <c r="S51" i="20" s="1"/>
  <c r="T51" i="20" s="1"/>
  <c r="P110" i="20"/>
  <c r="R111" i="20"/>
  <c r="S111" i="20" s="1"/>
  <c r="T111" i="20" s="1"/>
  <c r="D112" i="20"/>
  <c r="E112" i="20" s="1"/>
  <c r="F112" i="20" s="1"/>
  <c r="B111" i="20"/>
  <c r="B131" i="20"/>
  <c r="D132" i="20"/>
  <c r="E132" i="20" s="1"/>
  <c r="F132" i="20" s="1"/>
  <c r="R91" i="20"/>
  <c r="S91" i="20" s="1"/>
  <c r="T91" i="20" s="1"/>
  <c r="P90" i="20"/>
  <c r="B11" i="20"/>
  <c r="D12" i="20"/>
  <c r="E12" i="20" s="1"/>
  <c r="F12" i="20" s="1"/>
  <c r="I11" i="20"/>
  <c r="K12" i="20"/>
  <c r="L12" i="20" s="1"/>
  <c r="M12" i="20" s="1"/>
  <c r="R69" i="20" l="1"/>
  <c r="S69" i="20" s="1"/>
  <c r="T69" i="20" s="1"/>
  <c r="P68" i="20"/>
  <c r="B48" i="20"/>
  <c r="D49" i="20"/>
  <c r="E49" i="20" s="1"/>
  <c r="F49" i="20" s="1"/>
  <c r="P109" i="20"/>
  <c r="R110" i="20"/>
  <c r="S110" i="20" s="1"/>
  <c r="T110" i="20" s="1"/>
  <c r="R90" i="20"/>
  <c r="S90" i="20" s="1"/>
  <c r="T90" i="20" s="1"/>
  <c r="P89" i="20"/>
  <c r="P49" i="20"/>
  <c r="R50" i="20"/>
  <c r="S50" i="20" s="1"/>
  <c r="T50" i="20" s="1"/>
  <c r="D31" i="20"/>
  <c r="E31" i="20" s="1"/>
  <c r="F31" i="20" s="1"/>
  <c r="B30" i="20"/>
  <c r="D131" i="20"/>
  <c r="E131" i="20" s="1"/>
  <c r="F131" i="20" s="1"/>
  <c r="B130" i="20"/>
  <c r="P125" i="20"/>
  <c r="R126" i="20"/>
  <c r="S126" i="20" s="1"/>
  <c r="T126" i="20" s="1"/>
  <c r="B110" i="20"/>
  <c r="D111" i="20"/>
  <c r="E111" i="20" s="1"/>
  <c r="F111" i="20" s="1"/>
  <c r="B70" i="20"/>
  <c r="D71" i="20"/>
  <c r="E71" i="20" s="1"/>
  <c r="F71" i="20" s="1"/>
  <c r="B88" i="20"/>
  <c r="D89" i="20"/>
  <c r="E89" i="20" s="1"/>
  <c r="F89" i="20" s="1"/>
  <c r="D11" i="20"/>
  <c r="E11" i="20" s="1"/>
  <c r="F11" i="20" s="1"/>
  <c r="B10" i="20"/>
  <c r="K11" i="20"/>
  <c r="L11" i="20" s="1"/>
  <c r="M11" i="20" s="1"/>
  <c r="I10" i="20"/>
  <c r="R89" i="20" l="1"/>
  <c r="S89" i="20" s="1"/>
  <c r="T89" i="20" s="1"/>
  <c r="P88" i="20"/>
  <c r="R125" i="20"/>
  <c r="S125" i="20" s="1"/>
  <c r="T125" i="20" s="1"/>
  <c r="T140" i="20" s="1"/>
  <c r="P124" i="20"/>
  <c r="R124" i="20" s="1"/>
  <c r="S124" i="20" s="1"/>
  <c r="B129" i="20"/>
  <c r="D130" i="20"/>
  <c r="E130" i="20" s="1"/>
  <c r="F130" i="20" s="1"/>
  <c r="P108" i="20"/>
  <c r="R109" i="20"/>
  <c r="S109" i="20" s="1"/>
  <c r="T109" i="20" s="1"/>
  <c r="D70" i="20"/>
  <c r="E70" i="20" s="1"/>
  <c r="F70" i="20" s="1"/>
  <c r="B69" i="20"/>
  <c r="P67" i="20"/>
  <c r="R68" i="20"/>
  <c r="S68" i="20" s="1"/>
  <c r="T68" i="20" s="1"/>
  <c r="B87" i="20"/>
  <c r="D88" i="20"/>
  <c r="E88" i="20" s="1"/>
  <c r="F88" i="20" s="1"/>
  <c r="B29" i="20"/>
  <c r="D30" i="20"/>
  <c r="E30" i="20" s="1"/>
  <c r="F30" i="20" s="1"/>
  <c r="B47" i="20"/>
  <c r="D48" i="20"/>
  <c r="E48" i="20" s="1"/>
  <c r="F48" i="20" s="1"/>
  <c r="D110" i="20"/>
  <c r="E110" i="20" s="1"/>
  <c r="F110" i="20" s="1"/>
  <c r="B109" i="20"/>
  <c r="P48" i="20"/>
  <c r="R49" i="20"/>
  <c r="S49" i="20" s="1"/>
  <c r="T49" i="20" s="1"/>
  <c r="B9" i="20"/>
  <c r="D10" i="20"/>
  <c r="E10" i="20" s="1"/>
  <c r="F10" i="20" s="1"/>
  <c r="K10" i="20"/>
  <c r="L10" i="20" s="1"/>
  <c r="M10" i="20" s="1"/>
  <c r="I9" i="20"/>
  <c r="D29" i="20" l="1"/>
  <c r="E29" i="20" s="1"/>
  <c r="F29" i="20" s="1"/>
  <c r="B28" i="20"/>
  <c r="R108" i="20"/>
  <c r="S108" i="20" s="1"/>
  <c r="T108" i="20" s="1"/>
  <c r="P107" i="20"/>
  <c r="P47" i="20"/>
  <c r="R48" i="20"/>
  <c r="S48" i="20" s="1"/>
  <c r="T48" i="20" s="1"/>
  <c r="B86" i="20"/>
  <c r="D87" i="20"/>
  <c r="E87" i="20" s="1"/>
  <c r="F87" i="20" s="1"/>
  <c r="D129" i="20"/>
  <c r="E129" i="20" s="1"/>
  <c r="F129" i="20" s="1"/>
  <c r="B128" i="20"/>
  <c r="B108" i="20"/>
  <c r="D109" i="20"/>
  <c r="E109" i="20" s="1"/>
  <c r="F109" i="20" s="1"/>
  <c r="P66" i="20"/>
  <c r="R67" i="20"/>
  <c r="S67" i="20" s="1"/>
  <c r="T67" i="20" s="1"/>
  <c r="B68" i="20"/>
  <c r="D69" i="20"/>
  <c r="E69" i="20" s="1"/>
  <c r="F69" i="20" s="1"/>
  <c r="P87" i="20"/>
  <c r="R88" i="20"/>
  <c r="S88" i="20" s="1"/>
  <c r="T88" i="20" s="1"/>
  <c r="B46" i="20"/>
  <c r="D47" i="20"/>
  <c r="E47" i="20" s="1"/>
  <c r="F47" i="20" s="1"/>
  <c r="D9" i="20"/>
  <c r="E9" i="20" s="1"/>
  <c r="F9" i="20" s="1"/>
  <c r="B8" i="20"/>
  <c r="I8" i="20"/>
  <c r="K9" i="20"/>
  <c r="L9" i="20" s="1"/>
  <c r="M9" i="20" s="1"/>
  <c r="D68" i="20" l="1"/>
  <c r="E68" i="20" s="1"/>
  <c r="F68" i="20" s="1"/>
  <c r="B67" i="20"/>
  <c r="R66" i="20"/>
  <c r="S66" i="20" s="1"/>
  <c r="T66" i="20" s="1"/>
  <c r="P65" i="20"/>
  <c r="P46" i="20"/>
  <c r="R47" i="20"/>
  <c r="S47" i="20" s="1"/>
  <c r="T47" i="20" s="1"/>
  <c r="P106" i="20"/>
  <c r="R107" i="20"/>
  <c r="S107" i="20" s="1"/>
  <c r="T107" i="20" s="1"/>
  <c r="B45" i="20"/>
  <c r="D46" i="20"/>
  <c r="E46" i="20" s="1"/>
  <c r="F46" i="20" s="1"/>
  <c r="B107" i="20"/>
  <c r="D108" i="20"/>
  <c r="E108" i="20" s="1"/>
  <c r="F108" i="20" s="1"/>
  <c r="B127" i="20"/>
  <c r="D128" i="20"/>
  <c r="E128" i="20" s="1"/>
  <c r="F128" i="20" s="1"/>
  <c r="B27" i="20"/>
  <c r="D28" i="20"/>
  <c r="E28" i="20" s="1"/>
  <c r="F28" i="20" s="1"/>
  <c r="B85" i="20"/>
  <c r="D86" i="20"/>
  <c r="E86" i="20" s="1"/>
  <c r="F86" i="20" s="1"/>
  <c r="R87" i="20"/>
  <c r="S87" i="20" s="1"/>
  <c r="T87" i="20" s="1"/>
  <c r="P86" i="20"/>
  <c r="B7" i="20"/>
  <c r="D8" i="20"/>
  <c r="E8" i="20" s="1"/>
  <c r="F8" i="20" s="1"/>
  <c r="K8" i="20"/>
  <c r="L8" i="20" s="1"/>
  <c r="M8" i="20" s="1"/>
  <c r="I7" i="20"/>
  <c r="P45" i="20" l="1"/>
  <c r="R46" i="20"/>
  <c r="S46" i="20" s="1"/>
  <c r="T46" i="20" s="1"/>
  <c r="D27" i="20"/>
  <c r="E27" i="20" s="1"/>
  <c r="F27" i="20" s="1"/>
  <c r="B26" i="20"/>
  <c r="R106" i="20"/>
  <c r="S106" i="20" s="1"/>
  <c r="T106" i="20" s="1"/>
  <c r="P105" i="20"/>
  <c r="B126" i="20"/>
  <c r="D127" i="20"/>
  <c r="E127" i="20" s="1"/>
  <c r="F127" i="20" s="1"/>
  <c r="R86" i="20"/>
  <c r="S86" i="20" s="1"/>
  <c r="T86" i="20" s="1"/>
  <c r="P85" i="20"/>
  <c r="B106" i="20"/>
  <c r="D107" i="20"/>
  <c r="E107" i="20" s="1"/>
  <c r="F107" i="20" s="1"/>
  <c r="R65" i="20"/>
  <c r="S65" i="20" s="1"/>
  <c r="T65" i="20" s="1"/>
  <c r="T80" i="20" s="1"/>
  <c r="P64" i="20"/>
  <c r="R64" i="20" s="1"/>
  <c r="S64" i="20" s="1"/>
  <c r="B66" i="20"/>
  <c r="D67" i="20"/>
  <c r="E67" i="20" s="1"/>
  <c r="F67" i="20" s="1"/>
  <c r="D85" i="20"/>
  <c r="E85" i="20" s="1"/>
  <c r="F85" i="20" s="1"/>
  <c r="F100" i="20" s="1"/>
  <c r="B84" i="20"/>
  <c r="D84" i="20" s="1"/>
  <c r="E84" i="20" s="1"/>
  <c r="B44" i="20"/>
  <c r="D44" i="20" s="1"/>
  <c r="E44" i="20" s="1"/>
  <c r="D45" i="20"/>
  <c r="E45" i="20" s="1"/>
  <c r="F45" i="20" s="1"/>
  <c r="F60" i="20" s="1"/>
  <c r="D7" i="20"/>
  <c r="E7" i="20" s="1"/>
  <c r="F7" i="20" s="1"/>
  <c r="F20" i="20" s="1"/>
  <c r="B6" i="20"/>
  <c r="K7" i="20"/>
  <c r="L7" i="20" s="1"/>
  <c r="M7" i="20" s="1"/>
  <c r="M20" i="20" s="1"/>
  <c r="I6" i="20"/>
  <c r="B65" i="20" l="1"/>
  <c r="D66" i="20"/>
  <c r="E66" i="20" s="1"/>
  <c r="F66" i="20" s="1"/>
  <c r="B105" i="20"/>
  <c r="D106" i="20"/>
  <c r="E106" i="20" s="1"/>
  <c r="F106" i="20" s="1"/>
  <c r="D126" i="20"/>
  <c r="E126" i="20" s="1"/>
  <c r="F126" i="20" s="1"/>
  <c r="B125" i="20"/>
  <c r="P104" i="20"/>
  <c r="R104" i="20" s="1"/>
  <c r="S104" i="20" s="1"/>
  <c r="R105" i="20"/>
  <c r="S105" i="20" s="1"/>
  <c r="T105" i="20" s="1"/>
  <c r="T120" i="20" s="1"/>
  <c r="B25" i="20"/>
  <c r="D26" i="20"/>
  <c r="E26" i="20" s="1"/>
  <c r="F26" i="20" s="1"/>
  <c r="R85" i="20"/>
  <c r="S85" i="20" s="1"/>
  <c r="T85" i="20" s="1"/>
  <c r="T100" i="20" s="1"/>
  <c r="P84" i="20"/>
  <c r="R84" i="20" s="1"/>
  <c r="S84" i="20" s="1"/>
  <c r="P44" i="20"/>
  <c r="R44" i="20" s="1"/>
  <c r="S44" i="20" s="1"/>
  <c r="R45" i="20"/>
  <c r="S45" i="20" s="1"/>
  <c r="T45" i="20" s="1"/>
  <c r="T60" i="20" s="1"/>
  <c r="B5" i="20"/>
  <c r="D6" i="20"/>
  <c r="E6" i="20" s="1"/>
  <c r="F6" i="20" s="1"/>
  <c r="I5" i="20"/>
  <c r="K6" i="20"/>
  <c r="L6" i="20" s="1"/>
  <c r="M6" i="20" s="1"/>
  <c r="D125" i="20" l="1"/>
  <c r="E125" i="20" s="1"/>
  <c r="F125" i="20" s="1"/>
  <c r="F140" i="20" s="1"/>
  <c r="B124" i="20"/>
  <c r="D124" i="20" s="1"/>
  <c r="E124" i="20" s="1"/>
  <c r="B104" i="20"/>
  <c r="D104" i="20" s="1"/>
  <c r="E104" i="20" s="1"/>
  <c r="D105" i="20"/>
  <c r="E105" i="20" s="1"/>
  <c r="F105" i="20" s="1"/>
  <c r="F120" i="20" s="1"/>
  <c r="B24" i="20"/>
  <c r="D24" i="20" s="1"/>
  <c r="E24" i="20" s="1"/>
  <c r="D25" i="20"/>
  <c r="E25" i="20" s="1"/>
  <c r="F25" i="20" s="1"/>
  <c r="F40" i="20" s="1"/>
  <c r="B64" i="20"/>
  <c r="D64" i="20" s="1"/>
  <c r="E64" i="20" s="1"/>
  <c r="D65" i="20"/>
  <c r="E65" i="20" s="1"/>
  <c r="F65" i="20" s="1"/>
  <c r="F80" i="20" s="1"/>
  <c r="K5" i="20"/>
  <c r="L5" i="20" s="1"/>
  <c r="M5" i="20" s="1"/>
  <c r="I4" i="20"/>
  <c r="K4" i="20" s="1"/>
  <c r="L4" i="20" s="1"/>
  <c r="M4" i="20" s="1"/>
  <c r="D5" i="20"/>
  <c r="E5" i="20" s="1"/>
  <c r="F5" i="20" s="1"/>
  <c r="B4" i="20"/>
  <c r="D4" i="20" s="1"/>
  <c r="E4" i="20" s="1"/>
  <c r="F4" i="20" s="1"/>
  <c r="M157" i="18" l="1"/>
  <c r="F157" i="18"/>
  <c r="M156" i="18"/>
  <c r="F156" i="18"/>
  <c r="M155" i="18"/>
  <c r="F155" i="18"/>
  <c r="M154" i="18"/>
  <c r="F154" i="18"/>
  <c r="I153" i="18"/>
  <c r="M153" i="18" s="1"/>
  <c r="B153" i="18"/>
  <c r="F153" i="18" s="1"/>
  <c r="I152" i="18"/>
  <c r="I151" i="18" s="1"/>
  <c r="I150" i="18" s="1"/>
  <c r="M137" i="18"/>
  <c r="F137" i="18"/>
  <c r="M136" i="18"/>
  <c r="F136" i="18"/>
  <c r="M135" i="18"/>
  <c r="F135" i="18"/>
  <c r="M134" i="18"/>
  <c r="F134" i="18"/>
  <c r="I133" i="18"/>
  <c r="I132" i="18" s="1"/>
  <c r="I131" i="18" s="1"/>
  <c r="B133" i="18"/>
  <c r="D117" i="18"/>
  <c r="E117" i="18" s="1"/>
  <c r="F117" i="18" s="1"/>
  <c r="B116" i="18"/>
  <c r="D97" i="18"/>
  <c r="E97" i="18" s="1"/>
  <c r="F97" i="18" s="1"/>
  <c r="B96" i="18"/>
  <c r="E77" i="18"/>
  <c r="F77" i="18" s="1"/>
  <c r="D77" i="18"/>
  <c r="B76" i="18"/>
  <c r="D76" i="18" s="1"/>
  <c r="E76" i="18" s="1"/>
  <c r="F76" i="18" s="1"/>
  <c r="D57" i="18"/>
  <c r="E57" i="18" s="1"/>
  <c r="F57" i="18" s="1"/>
  <c r="B56" i="18"/>
  <c r="D56" i="18" s="1"/>
  <c r="E56" i="18" s="1"/>
  <c r="F56" i="18" s="1"/>
  <c r="D37" i="18"/>
  <c r="E37" i="18" s="1"/>
  <c r="F37" i="18" s="1"/>
  <c r="B36" i="18"/>
  <c r="D36" i="18" s="1"/>
  <c r="E36" i="18" s="1"/>
  <c r="F36" i="18" s="1"/>
  <c r="B35" i="18"/>
  <c r="D35" i="18" s="1"/>
  <c r="E35" i="18" s="1"/>
  <c r="F35" i="18" s="1"/>
  <c r="D17" i="18"/>
  <c r="E17" i="18" s="1"/>
  <c r="F17" i="18" s="1"/>
  <c r="B16" i="18"/>
  <c r="D16" i="18" s="1"/>
  <c r="E16" i="18" s="1"/>
  <c r="F16" i="18" s="1"/>
  <c r="B15" i="18"/>
  <c r="D15" i="18" s="1"/>
  <c r="E15" i="18" s="1"/>
  <c r="F15" i="18" s="1"/>
  <c r="B34" i="18" l="1"/>
  <c r="B75" i="18"/>
  <c r="M133" i="18"/>
  <c r="B14" i="18"/>
  <c r="B13" i="18" s="1"/>
  <c r="D13" i="18" s="1"/>
  <c r="E13" i="18" s="1"/>
  <c r="F13" i="18" s="1"/>
  <c r="M152" i="18"/>
  <c r="B55" i="18"/>
  <c r="B152" i="18"/>
  <c r="D116" i="18"/>
  <c r="E116" i="18" s="1"/>
  <c r="F116" i="18" s="1"/>
  <c r="B115" i="18"/>
  <c r="I130" i="18"/>
  <c r="M131" i="18"/>
  <c r="M132" i="18"/>
  <c r="F133" i="18"/>
  <c r="B132" i="18"/>
  <c r="I149" i="18"/>
  <c r="M150" i="18"/>
  <c r="M151" i="18"/>
  <c r="D96" i="18"/>
  <c r="E96" i="18" s="1"/>
  <c r="F96" i="18" s="1"/>
  <c r="B95" i="18"/>
  <c r="D75" i="18" l="1"/>
  <c r="E75" i="18" s="1"/>
  <c r="F75" i="18" s="1"/>
  <c r="B74" i="18"/>
  <c r="D34" i="18"/>
  <c r="E34" i="18" s="1"/>
  <c r="F34" i="18" s="1"/>
  <c r="B33" i="18"/>
  <c r="B12" i="18"/>
  <c r="D12" i="18" s="1"/>
  <c r="E12" i="18" s="1"/>
  <c r="F12" i="18" s="1"/>
  <c r="D14" i="18"/>
  <c r="E14" i="18" s="1"/>
  <c r="F14" i="18" s="1"/>
  <c r="B54" i="18"/>
  <c r="D55" i="18"/>
  <c r="E55" i="18" s="1"/>
  <c r="F55" i="18" s="1"/>
  <c r="F152" i="18"/>
  <c r="B151" i="18"/>
  <c r="D95" i="18"/>
  <c r="E95" i="18" s="1"/>
  <c r="F95" i="18" s="1"/>
  <c r="B94" i="18"/>
  <c r="M149" i="18"/>
  <c r="I148" i="18"/>
  <c r="B114" i="18"/>
  <c r="D115" i="18"/>
  <c r="E115" i="18" s="1"/>
  <c r="F115" i="18" s="1"/>
  <c r="F132" i="18"/>
  <c r="B131" i="18"/>
  <c r="M130" i="18"/>
  <c r="I129" i="18"/>
  <c r="D33" i="18" l="1"/>
  <c r="E33" i="18" s="1"/>
  <c r="F33" i="18" s="1"/>
  <c r="B32" i="18"/>
  <c r="D74" i="18"/>
  <c r="E74" i="18" s="1"/>
  <c r="F74" i="18" s="1"/>
  <c r="B73" i="18"/>
  <c r="B11" i="18"/>
  <c r="D11" i="18" s="1"/>
  <c r="E11" i="18" s="1"/>
  <c r="F11" i="18" s="1"/>
  <c r="F151" i="18"/>
  <c r="B150" i="18"/>
  <c r="B53" i="18"/>
  <c r="D54" i="18"/>
  <c r="E54" i="18" s="1"/>
  <c r="F54" i="18" s="1"/>
  <c r="I128" i="18"/>
  <c r="M129" i="18"/>
  <c r="F131" i="18"/>
  <c r="B130" i="18"/>
  <c r="I147" i="18"/>
  <c r="M148" i="18"/>
  <c r="D94" i="18"/>
  <c r="E94" i="18" s="1"/>
  <c r="F94" i="18" s="1"/>
  <c r="B93" i="18"/>
  <c r="B113" i="18"/>
  <c r="D114" i="18"/>
  <c r="E114" i="18" s="1"/>
  <c r="F114" i="18" s="1"/>
  <c r="B10" i="18" l="1"/>
  <c r="B9" i="18" s="1"/>
  <c r="D73" i="18"/>
  <c r="E73" i="18" s="1"/>
  <c r="F73" i="18" s="1"/>
  <c r="B72" i="18"/>
  <c r="D32" i="18"/>
  <c r="E32" i="18" s="1"/>
  <c r="F32" i="18" s="1"/>
  <c r="B31" i="18"/>
  <c r="D10" i="18"/>
  <c r="E10" i="18" s="1"/>
  <c r="F10" i="18" s="1"/>
  <c r="F150" i="18"/>
  <c r="B149" i="18"/>
  <c r="D53" i="18"/>
  <c r="E53" i="18" s="1"/>
  <c r="F53" i="18" s="1"/>
  <c r="B52" i="18"/>
  <c r="F130" i="18"/>
  <c r="B129" i="18"/>
  <c r="I127" i="18"/>
  <c r="M128" i="18"/>
  <c r="D93" i="18"/>
  <c r="E93" i="18" s="1"/>
  <c r="F93" i="18" s="1"/>
  <c r="B92" i="18"/>
  <c r="D113" i="18"/>
  <c r="E113" i="18" s="1"/>
  <c r="F113" i="18" s="1"/>
  <c r="B112" i="18"/>
  <c r="I146" i="18"/>
  <c r="M147" i="18"/>
  <c r="D31" i="18" l="1"/>
  <c r="E31" i="18" s="1"/>
  <c r="F31" i="18" s="1"/>
  <c r="B30" i="18"/>
  <c r="D72" i="18"/>
  <c r="E72" i="18" s="1"/>
  <c r="F72" i="18" s="1"/>
  <c r="B71" i="18"/>
  <c r="B8" i="18"/>
  <c r="D9" i="18"/>
  <c r="E9" i="18" s="1"/>
  <c r="F9" i="18" s="1"/>
  <c r="D52" i="18"/>
  <c r="E52" i="18" s="1"/>
  <c r="F52" i="18" s="1"/>
  <c r="B51" i="18"/>
  <c r="F149" i="18"/>
  <c r="B148" i="18"/>
  <c r="I145" i="18"/>
  <c r="M146" i="18"/>
  <c r="I126" i="18"/>
  <c r="M127" i="18"/>
  <c r="B111" i="18"/>
  <c r="D112" i="18"/>
  <c r="E112" i="18" s="1"/>
  <c r="F112" i="18" s="1"/>
  <c r="B91" i="18"/>
  <c r="D92" i="18"/>
  <c r="E92" i="18" s="1"/>
  <c r="F92" i="18" s="1"/>
  <c r="F129" i="18"/>
  <c r="B128" i="18"/>
  <c r="B70" i="18" l="1"/>
  <c r="D71" i="18"/>
  <c r="E71" i="18" s="1"/>
  <c r="F71" i="18" s="1"/>
  <c r="D30" i="18"/>
  <c r="E30" i="18" s="1"/>
  <c r="F30" i="18" s="1"/>
  <c r="B29" i="18"/>
  <c r="B50" i="18"/>
  <c r="D51" i="18"/>
  <c r="E51" i="18" s="1"/>
  <c r="F51" i="18" s="1"/>
  <c r="D8" i="18"/>
  <c r="E8" i="18" s="1"/>
  <c r="F8" i="18" s="1"/>
  <c r="B7" i="18"/>
  <c r="F148" i="18"/>
  <c r="B147" i="18"/>
  <c r="M126" i="18"/>
  <c r="I125" i="18"/>
  <c r="D111" i="18"/>
  <c r="E111" i="18" s="1"/>
  <c r="F111" i="18" s="1"/>
  <c r="B110" i="18"/>
  <c r="M145" i="18"/>
  <c r="M160" i="18" s="1"/>
  <c r="F128" i="18"/>
  <c r="B127" i="18"/>
  <c r="D91" i="18"/>
  <c r="E91" i="18" s="1"/>
  <c r="F91" i="18" s="1"/>
  <c r="B90" i="18"/>
  <c r="D29" i="18" l="1"/>
  <c r="E29" i="18" s="1"/>
  <c r="F29" i="18" s="1"/>
  <c r="B28" i="18"/>
  <c r="D70" i="18"/>
  <c r="E70" i="18" s="1"/>
  <c r="F70" i="18" s="1"/>
  <c r="B69" i="18"/>
  <c r="D7" i="18"/>
  <c r="E7" i="18" s="1"/>
  <c r="F7" i="18" s="1"/>
  <c r="B6" i="18"/>
  <c r="F147" i="18"/>
  <c r="B146" i="18"/>
  <c r="B49" i="18"/>
  <c r="D50" i="18"/>
  <c r="E50" i="18" s="1"/>
  <c r="F50" i="18" s="1"/>
  <c r="F127" i="18"/>
  <c r="B126" i="18"/>
  <c r="M125" i="18"/>
  <c r="M140" i="18" s="1"/>
  <c r="D90" i="18"/>
  <c r="E90" i="18" s="1"/>
  <c r="F90" i="18" s="1"/>
  <c r="B89" i="18"/>
  <c r="B109" i="18"/>
  <c r="D110" i="18"/>
  <c r="E110" i="18" s="1"/>
  <c r="F110" i="18" s="1"/>
  <c r="B68" i="18" l="1"/>
  <c r="D69" i="18"/>
  <c r="E69" i="18" s="1"/>
  <c r="F69" i="18" s="1"/>
  <c r="B27" i="18"/>
  <c r="D28" i="18"/>
  <c r="E28" i="18" s="1"/>
  <c r="F28" i="18" s="1"/>
  <c r="B145" i="18"/>
  <c r="F146" i="18"/>
  <c r="D6" i="18"/>
  <c r="E6" i="18" s="1"/>
  <c r="F6" i="18" s="1"/>
  <c r="B5" i="18"/>
  <c r="B48" i="18"/>
  <c r="D49" i="18"/>
  <c r="E49" i="18" s="1"/>
  <c r="F49" i="18" s="1"/>
  <c r="F126" i="18"/>
  <c r="B125" i="18"/>
  <c r="B108" i="18"/>
  <c r="D109" i="18"/>
  <c r="E109" i="18" s="1"/>
  <c r="F109" i="18" s="1"/>
  <c r="B88" i="18"/>
  <c r="D89" i="18"/>
  <c r="E89" i="18" s="1"/>
  <c r="F89" i="18" s="1"/>
  <c r="B26" i="18" l="1"/>
  <c r="D27" i="18"/>
  <c r="E27" i="18" s="1"/>
  <c r="F27" i="18" s="1"/>
  <c r="D68" i="18"/>
  <c r="E68" i="18" s="1"/>
  <c r="F68" i="18" s="1"/>
  <c r="B67" i="18"/>
  <c r="B47" i="18"/>
  <c r="D48" i="18"/>
  <c r="E48" i="18" s="1"/>
  <c r="F48" i="18" s="1"/>
  <c r="D5" i="18"/>
  <c r="E5" i="18" s="1"/>
  <c r="F5" i="18" s="1"/>
  <c r="F20" i="18" s="1"/>
  <c r="F145" i="18"/>
  <c r="F160" i="18" s="1"/>
  <c r="F125" i="18"/>
  <c r="F140" i="18" s="1"/>
  <c r="B107" i="18"/>
  <c r="D108" i="18"/>
  <c r="E108" i="18" s="1"/>
  <c r="F108" i="18" s="1"/>
  <c r="D88" i="18"/>
  <c r="E88" i="18" s="1"/>
  <c r="F88" i="18" s="1"/>
  <c r="B87" i="18"/>
  <c r="D26" i="18" l="1"/>
  <c r="E26" i="18" s="1"/>
  <c r="F26" i="18" s="1"/>
  <c r="B25" i="18"/>
  <c r="B66" i="18"/>
  <c r="D67" i="18"/>
  <c r="E67" i="18" s="1"/>
  <c r="F67" i="18" s="1"/>
  <c r="D47" i="18"/>
  <c r="E47" i="18" s="1"/>
  <c r="F47" i="18" s="1"/>
  <c r="B46" i="18"/>
  <c r="B86" i="18"/>
  <c r="D87" i="18"/>
  <c r="E87" i="18" s="1"/>
  <c r="F87" i="18" s="1"/>
  <c r="D107" i="18"/>
  <c r="E107" i="18" s="1"/>
  <c r="F107" i="18" s="1"/>
  <c r="B106" i="18"/>
  <c r="B65" i="18" l="1"/>
  <c r="D66" i="18"/>
  <c r="E66" i="18" s="1"/>
  <c r="F66" i="18" s="1"/>
  <c r="D25" i="18"/>
  <c r="E25" i="18" s="1"/>
  <c r="F25" i="18" s="1"/>
  <c r="F40" i="18" s="1"/>
  <c r="D46" i="18"/>
  <c r="E46" i="18" s="1"/>
  <c r="F46" i="18" s="1"/>
  <c r="B45" i="18"/>
  <c r="B105" i="18"/>
  <c r="D106" i="18"/>
  <c r="E106" i="18" s="1"/>
  <c r="F106" i="18" s="1"/>
  <c r="D86" i="18"/>
  <c r="E86" i="18" s="1"/>
  <c r="F86" i="18" s="1"/>
  <c r="B85" i="18"/>
  <c r="D65" i="18" l="1"/>
  <c r="E65" i="18" s="1"/>
  <c r="F65" i="18" s="1"/>
  <c r="F80" i="18" s="1"/>
  <c r="D45" i="18"/>
  <c r="E45" i="18" s="1"/>
  <c r="F45" i="18" s="1"/>
  <c r="F60" i="18" s="1"/>
  <c r="D105" i="18"/>
  <c r="E105" i="18" s="1"/>
  <c r="F105" i="18" s="1"/>
  <c r="F120" i="18" s="1"/>
  <c r="D104" i="18"/>
  <c r="E104" i="18" s="1"/>
  <c r="D85" i="18"/>
  <c r="E85" i="18" s="1"/>
  <c r="F85" i="18" s="1"/>
  <c r="F100" i="18" s="1"/>
  <c r="D3" i="17" l="1"/>
  <c r="E3" i="17" s="1"/>
  <c r="F3" i="17" s="1"/>
  <c r="K3" i="17"/>
  <c r="L3" i="17" s="1"/>
  <c r="M3" i="17" s="1"/>
  <c r="R3" i="17"/>
  <c r="S3" i="17" s="1"/>
  <c r="T3" i="17" s="1"/>
  <c r="Y3" i="17"/>
  <c r="Z3" i="17" s="1"/>
  <c r="AA3" i="17"/>
  <c r="D4" i="17"/>
  <c r="E4" i="17" s="1"/>
  <c r="F4" i="17" s="1"/>
  <c r="K4" i="17"/>
  <c r="L4" i="17" s="1"/>
  <c r="M4" i="17" s="1"/>
  <c r="R4" i="17"/>
  <c r="S4" i="17"/>
  <c r="T4" i="17" s="1"/>
  <c r="Y4" i="17"/>
  <c r="Z4" i="17"/>
  <c r="AA4" i="17" s="1"/>
  <c r="D5" i="17"/>
  <c r="E5" i="17"/>
  <c r="F5" i="17" s="1"/>
  <c r="K5" i="17"/>
  <c r="L5" i="17" s="1"/>
  <c r="M5" i="17" s="1"/>
  <c r="R5" i="17"/>
  <c r="S5" i="17" s="1"/>
  <c r="T5" i="17" s="1"/>
  <c r="Y5" i="17"/>
  <c r="Z5" i="17"/>
  <c r="AA5" i="17" s="1"/>
  <c r="D6" i="17"/>
  <c r="E6" i="17"/>
  <c r="F6" i="17" s="1"/>
  <c r="K6" i="17"/>
  <c r="L6" i="17" s="1"/>
  <c r="M6" i="17" s="1"/>
  <c r="R6" i="17"/>
  <c r="S6" i="17" s="1"/>
  <c r="T6" i="17" s="1"/>
  <c r="Y6" i="17"/>
  <c r="Z6" i="17" s="1"/>
  <c r="AA6" i="17" s="1"/>
  <c r="D7" i="17"/>
  <c r="E7" i="17"/>
  <c r="F7" i="17"/>
  <c r="K7" i="17"/>
  <c r="L7" i="17" s="1"/>
  <c r="M7" i="17" s="1"/>
  <c r="R7" i="17"/>
  <c r="S7" i="17" s="1"/>
  <c r="T7" i="17" s="1"/>
  <c r="Y7" i="17"/>
  <c r="Z7" i="17"/>
  <c r="AA7" i="17" s="1"/>
  <c r="D8" i="17"/>
  <c r="E8" i="17"/>
  <c r="F8" i="17"/>
  <c r="K8" i="17"/>
  <c r="L8" i="17" s="1"/>
  <c r="M8" i="17" s="1"/>
  <c r="R8" i="17"/>
  <c r="S8" i="17" s="1"/>
  <c r="T8" i="17" s="1"/>
  <c r="Y8" i="17"/>
  <c r="Z8" i="17" s="1"/>
  <c r="AA8" i="17" s="1"/>
  <c r="D9" i="17"/>
  <c r="E9" i="17"/>
  <c r="F9" i="17"/>
  <c r="K9" i="17"/>
  <c r="L9" i="17" s="1"/>
  <c r="M9" i="17" s="1"/>
  <c r="R9" i="17"/>
  <c r="S9" i="17" s="1"/>
  <c r="T9" i="17" s="1"/>
  <c r="Y9" i="17"/>
  <c r="Z9" i="17" s="1"/>
  <c r="AA9" i="17" s="1"/>
  <c r="D10" i="17"/>
  <c r="E10" i="17"/>
  <c r="F10" i="17"/>
  <c r="K10" i="17"/>
  <c r="L10" i="17" s="1"/>
  <c r="M10" i="17" s="1"/>
  <c r="R10" i="17"/>
  <c r="S10" i="17"/>
  <c r="T10" i="17" s="1"/>
  <c r="Y10" i="17"/>
  <c r="Z10" i="17" s="1"/>
  <c r="AA10" i="17" s="1"/>
  <c r="D11" i="17"/>
  <c r="E11" i="17" s="1"/>
  <c r="F11" i="17" s="1"/>
  <c r="K11" i="17"/>
  <c r="L11" i="17" s="1"/>
  <c r="M11" i="17"/>
  <c r="R11" i="17"/>
  <c r="S11" i="17" s="1"/>
  <c r="T11" i="17" s="1"/>
  <c r="Y11" i="17"/>
  <c r="Z11" i="17" s="1"/>
  <c r="AA11" i="17" s="1"/>
  <c r="D12" i="17"/>
  <c r="E12" i="17"/>
  <c r="F12" i="17" s="1"/>
  <c r="K12" i="17"/>
  <c r="L12" i="17" s="1"/>
  <c r="M12" i="17" s="1"/>
  <c r="R12" i="17"/>
  <c r="S12" i="17" s="1"/>
  <c r="T12" i="17" s="1"/>
  <c r="Y12" i="17"/>
  <c r="Z12" i="17"/>
  <c r="AA12" i="17" s="1"/>
  <c r="D13" i="17"/>
  <c r="E13" i="17" s="1"/>
  <c r="F13" i="17" s="1"/>
  <c r="K13" i="17"/>
  <c r="L13" i="17" s="1"/>
  <c r="M13" i="17"/>
  <c r="R13" i="17"/>
  <c r="S13" i="17" s="1"/>
  <c r="T13" i="17" s="1"/>
  <c r="Y13" i="17"/>
  <c r="Z13" i="17"/>
  <c r="AA13" i="17" s="1"/>
  <c r="D14" i="17"/>
  <c r="E14" i="17" s="1"/>
  <c r="F14" i="17" s="1"/>
  <c r="K14" i="17"/>
  <c r="L14" i="17" s="1"/>
  <c r="M14" i="17" s="1"/>
  <c r="R14" i="17"/>
  <c r="S14" i="17" s="1"/>
  <c r="T14" i="17" s="1"/>
  <c r="Y14" i="17"/>
  <c r="Z14" i="17"/>
  <c r="AA14" i="17" s="1"/>
  <c r="D15" i="17"/>
  <c r="E15" i="17" s="1"/>
  <c r="F15" i="17" s="1"/>
  <c r="K15" i="17"/>
  <c r="L15" i="17" s="1"/>
  <c r="M15" i="17" s="1"/>
  <c r="R15" i="17"/>
  <c r="S15" i="17" s="1"/>
  <c r="T15" i="17" s="1"/>
  <c r="Y15" i="17"/>
  <c r="Z15" i="17"/>
  <c r="AA15" i="17"/>
  <c r="D16" i="17"/>
  <c r="E16" i="17" s="1"/>
  <c r="F16" i="17" s="1"/>
  <c r="K16" i="17"/>
  <c r="L16" i="17" s="1"/>
  <c r="M16" i="17" s="1"/>
  <c r="R16" i="17"/>
  <c r="S16" i="17" s="1"/>
  <c r="T16" i="17" s="1"/>
  <c r="Y16" i="17"/>
  <c r="Z16" i="17"/>
  <c r="AA16" i="17" s="1"/>
  <c r="D17" i="17"/>
  <c r="E17" i="17" s="1"/>
  <c r="F17" i="17" s="1"/>
  <c r="K17" i="17"/>
  <c r="L17" i="17" s="1"/>
  <c r="M17" i="17" s="1"/>
  <c r="R17" i="17"/>
  <c r="S17" i="17" s="1"/>
  <c r="T17" i="17" s="1"/>
  <c r="Y17" i="17"/>
  <c r="Z17" i="17"/>
  <c r="AA17" i="17"/>
  <c r="D18" i="17"/>
  <c r="E18" i="17" s="1"/>
  <c r="F18" i="17" s="1"/>
  <c r="K18" i="17"/>
  <c r="L18" i="17" s="1"/>
  <c r="M18" i="17" s="1"/>
  <c r="R18" i="17"/>
  <c r="S18" i="17"/>
  <c r="T18" i="17" s="1"/>
  <c r="Y18" i="17"/>
  <c r="Z18" i="17"/>
  <c r="AA18" i="17" s="1"/>
  <c r="D23" i="17"/>
  <c r="E23" i="17" s="1"/>
  <c r="F23" i="17" s="1"/>
  <c r="K23" i="17"/>
  <c r="L23" i="17" s="1"/>
  <c r="M23" i="17" s="1"/>
  <c r="R23" i="17"/>
  <c r="S23" i="17"/>
  <c r="T23" i="17" s="1"/>
  <c r="Y23" i="17"/>
  <c r="Z23" i="17" s="1"/>
  <c r="AA23" i="17" s="1"/>
  <c r="D24" i="17"/>
  <c r="E24" i="17"/>
  <c r="F24" i="17" s="1"/>
  <c r="K24" i="17"/>
  <c r="L24" i="17" s="1"/>
  <c r="M24" i="17" s="1"/>
  <c r="R24" i="17"/>
  <c r="S24" i="17" s="1"/>
  <c r="T24" i="17" s="1"/>
  <c r="Y24" i="17"/>
  <c r="Z24" i="17"/>
  <c r="AA24" i="17" s="1"/>
  <c r="D25" i="17"/>
  <c r="E25" i="17"/>
  <c r="F25" i="17" s="1"/>
  <c r="K25" i="17"/>
  <c r="L25" i="17" s="1"/>
  <c r="M25" i="17" s="1"/>
  <c r="R25" i="17"/>
  <c r="S25" i="17" s="1"/>
  <c r="T25" i="17" s="1"/>
  <c r="Y25" i="17"/>
  <c r="Z25" i="17"/>
  <c r="AA25" i="17" s="1"/>
  <c r="D26" i="17"/>
  <c r="E26" i="17" s="1"/>
  <c r="F26" i="17" s="1"/>
  <c r="K26" i="17"/>
  <c r="L26" i="17" s="1"/>
  <c r="M26" i="17" s="1"/>
  <c r="R26" i="17"/>
  <c r="S26" i="17" s="1"/>
  <c r="T26" i="17" s="1"/>
  <c r="Y26" i="17"/>
  <c r="Z26" i="17"/>
  <c r="AA26" i="17"/>
  <c r="D27" i="17"/>
  <c r="E27" i="17" s="1"/>
  <c r="F27" i="17" s="1"/>
  <c r="K27" i="17"/>
  <c r="L27" i="17" s="1"/>
  <c r="M27" i="17" s="1"/>
  <c r="R27" i="17"/>
  <c r="S27" i="17"/>
  <c r="T27" i="17" s="1"/>
  <c r="Y27" i="17"/>
  <c r="Z27" i="17"/>
  <c r="AA27" i="17" s="1"/>
  <c r="D28" i="17"/>
  <c r="E28" i="17" s="1"/>
  <c r="F28" i="17" s="1"/>
  <c r="K28" i="17"/>
  <c r="L28" i="17" s="1"/>
  <c r="M28" i="17"/>
  <c r="R28" i="17"/>
  <c r="S28" i="17" s="1"/>
  <c r="T28" i="17" s="1"/>
  <c r="Y28" i="17"/>
  <c r="Z28" i="17"/>
  <c r="AA28" i="17" s="1"/>
  <c r="D29" i="17"/>
  <c r="E29" i="17" s="1"/>
  <c r="F29" i="17" s="1"/>
  <c r="K29" i="17"/>
  <c r="L29" i="17"/>
  <c r="M29" i="17"/>
  <c r="R29" i="17"/>
  <c r="S29" i="17" s="1"/>
  <c r="T29" i="17" s="1"/>
  <c r="Y29" i="17"/>
  <c r="Z29" i="17" s="1"/>
  <c r="AA29" i="17" s="1"/>
  <c r="D30" i="17"/>
  <c r="E30" i="17" s="1"/>
  <c r="F30" i="17" s="1"/>
  <c r="K30" i="17"/>
  <c r="L30" i="17" s="1"/>
  <c r="M30" i="17"/>
  <c r="R30" i="17"/>
  <c r="S30" i="17" s="1"/>
  <c r="T30" i="17" s="1"/>
  <c r="Y30" i="17"/>
  <c r="Z30" i="17"/>
  <c r="AA30" i="17" s="1"/>
  <c r="D31" i="17"/>
  <c r="E31" i="17" s="1"/>
  <c r="F31" i="17" s="1"/>
  <c r="K31" i="17"/>
  <c r="L31" i="17"/>
  <c r="M31" i="17"/>
  <c r="R31" i="17"/>
  <c r="S31" i="17" s="1"/>
  <c r="T31" i="17" s="1"/>
  <c r="Y31" i="17"/>
  <c r="Z31" i="17" s="1"/>
  <c r="AA31" i="17" s="1"/>
  <c r="D32" i="17"/>
  <c r="E32" i="17"/>
  <c r="F32" i="17"/>
  <c r="K32" i="17"/>
  <c r="L32" i="17" s="1"/>
  <c r="M32" i="17" s="1"/>
  <c r="R32" i="17"/>
  <c r="S32" i="17" s="1"/>
  <c r="T32" i="17" s="1"/>
  <c r="Y32" i="17"/>
  <c r="Z32" i="17" s="1"/>
  <c r="AA32" i="17" s="1"/>
  <c r="D33" i="17"/>
  <c r="E33" i="17"/>
  <c r="F33" i="17" s="1"/>
  <c r="K33" i="17"/>
  <c r="L33" i="17"/>
  <c r="M33" i="17"/>
  <c r="R33" i="17"/>
  <c r="S33" i="17" s="1"/>
  <c r="T33" i="17" s="1"/>
  <c r="Y33" i="17"/>
  <c r="Z33" i="17" s="1"/>
  <c r="AA33" i="17" s="1"/>
  <c r="D34" i="17"/>
  <c r="E34" i="17"/>
  <c r="F34" i="17"/>
  <c r="K34" i="17"/>
  <c r="L34" i="17" s="1"/>
  <c r="M34" i="17"/>
  <c r="R34" i="17"/>
  <c r="S34" i="17" s="1"/>
  <c r="T34" i="17" s="1"/>
  <c r="Y34" i="17"/>
  <c r="Z34" i="17" s="1"/>
  <c r="AA34" i="17" s="1"/>
  <c r="D35" i="17"/>
  <c r="E35" i="17"/>
  <c r="F35" i="17"/>
  <c r="K35" i="17"/>
  <c r="L35" i="17"/>
  <c r="M35" i="17" s="1"/>
  <c r="R35" i="17"/>
  <c r="S35" i="17" s="1"/>
  <c r="T35" i="17" s="1"/>
  <c r="Y35" i="17"/>
  <c r="Z35" i="17"/>
  <c r="AA35" i="17" s="1"/>
  <c r="D36" i="17"/>
  <c r="E36" i="17"/>
  <c r="F36" i="17"/>
  <c r="K36" i="17"/>
  <c r="L36" i="17" s="1"/>
  <c r="M36" i="17" s="1"/>
  <c r="R36" i="17"/>
  <c r="S36" i="17" s="1"/>
  <c r="T36" i="17" s="1"/>
  <c r="Y36" i="17"/>
  <c r="Z36" i="17" s="1"/>
  <c r="AA36" i="17" s="1"/>
  <c r="D37" i="17"/>
  <c r="E37" i="17"/>
  <c r="F37" i="17"/>
  <c r="K37" i="17"/>
  <c r="L37" i="17" s="1"/>
  <c r="M37" i="17" s="1"/>
  <c r="R37" i="17"/>
  <c r="S37" i="17"/>
  <c r="T37" i="17" s="1"/>
  <c r="Y37" i="17"/>
  <c r="Z37" i="17"/>
  <c r="AA37" i="17" s="1"/>
  <c r="D38" i="17"/>
  <c r="E38" i="17"/>
  <c r="F38" i="17" s="1"/>
  <c r="K38" i="17"/>
  <c r="L38" i="17" s="1"/>
  <c r="M38" i="17" s="1"/>
  <c r="R38" i="17"/>
  <c r="S38" i="17" s="1"/>
  <c r="T38" i="17" s="1"/>
  <c r="Y38" i="17"/>
  <c r="Z38" i="17"/>
  <c r="AA38" i="17"/>
  <c r="D43" i="17"/>
  <c r="E43" i="17" s="1"/>
  <c r="F43" i="17" s="1"/>
  <c r="K43" i="17"/>
  <c r="L43" i="17" s="1"/>
  <c r="M43" i="17"/>
  <c r="R43" i="17"/>
  <c r="S43" i="17" s="1"/>
  <c r="T43" i="17" s="1"/>
  <c r="Y43" i="17"/>
  <c r="Z43" i="17"/>
  <c r="AA43" i="17" s="1"/>
  <c r="D44" i="17"/>
  <c r="E44" i="17" s="1"/>
  <c r="F44" i="17" s="1"/>
  <c r="K44" i="17"/>
  <c r="L44" i="17"/>
  <c r="M44" i="17"/>
  <c r="R44" i="17"/>
  <c r="S44" i="17" s="1"/>
  <c r="T44" i="17" s="1"/>
  <c r="Y44" i="17"/>
  <c r="Z44" i="17"/>
  <c r="AA44" i="17" s="1"/>
  <c r="D45" i="17"/>
  <c r="E45" i="17" s="1"/>
  <c r="F45" i="17" s="1"/>
  <c r="K45" i="17"/>
  <c r="L45" i="17" s="1"/>
  <c r="M45" i="17" s="1"/>
  <c r="R45" i="17"/>
  <c r="S45" i="17" s="1"/>
  <c r="T45" i="17" s="1"/>
  <c r="Y45" i="17"/>
  <c r="Z45" i="17"/>
  <c r="AA45" i="17"/>
  <c r="D46" i="17"/>
  <c r="E46" i="17" s="1"/>
  <c r="F46" i="17" s="1"/>
  <c r="K46" i="17"/>
  <c r="L46" i="17"/>
  <c r="M46" i="17"/>
  <c r="R46" i="17"/>
  <c r="S46" i="17"/>
  <c r="T46" i="17"/>
  <c r="Y46" i="17"/>
  <c r="Z46" i="17" s="1"/>
  <c r="AA46" i="17" s="1"/>
  <c r="D47" i="17"/>
  <c r="E47" i="17" s="1"/>
  <c r="F47" i="17" s="1"/>
  <c r="K47" i="17"/>
  <c r="L47" i="17"/>
  <c r="M47" i="17"/>
  <c r="R47" i="17"/>
  <c r="S47" i="17" s="1"/>
  <c r="T47" i="17" s="1"/>
  <c r="Y47" i="17"/>
  <c r="Z47" i="17" s="1"/>
  <c r="AA47" i="17" s="1"/>
  <c r="D48" i="17"/>
  <c r="E48" i="17"/>
  <c r="F48" i="17"/>
  <c r="K48" i="17"/>
  <c r="L48" i="17"/>
  <c r="M48" i="17"/>
  <c r="R48" i="17"/>
  <c r="S48" i="17" s="1"/>
  <c r="T48" i="17" s="1"/>
  <c r="Y48" i="17"/>
  <c r="Z48" i="17" s="1"/>
  <c r="AA48" i="17" s="1"/>
  <c r="D49" i="17"/>
  <c r="E49" i="17"/>
  <c r="F49" i="17"/>
  <c r="K49" i="17"/>
  <c r="L49" i="17" s="1"/>
  <c r="M49" i="17" s="1"/>
  <c r="R49" i="17"/>
  <c r="S49" i="17" s="1"/>
  <c r="T49" i="17" s="1"/>
  <c r="Y49" i="17"/>
  <c r="Z49" i="17" s="1"/>
  <c r="AA49" i="17" s="1"/>
  <c r="D50" i="17"/>
  <c r="E50" i="17" s="1"/>
  <c r="F50" i="17" s="1"/>
  <c r="K50" i="17"/>
  <c r="L50" i="17"/>
  <c r="M50" i="17"/>
  <c r="R50" i="17"/>
  <c r="S50" i="17" s="1"/>
  <c r="T50" i="17" s="1"/>
  <c r="Y50" i="17"/>
  <c r="Z50" i="17" s="1"/>
  <c r="AA50" i="17" s="1"/>
  <c r="D51" i="17"/>
  <c r="E51" i="17"/>
  <c r="F51" i="17"/>
  <c r="K51" i="17"/>
  <c r="L51" i="17"/>
  <c r="M51" i="17" s="1"/>
  <c r="R51" i="17"/>
  <c r="S51" i="17" s="1"/>
  <c r="T51" i="17" s="1"/>
  <c r="Y51" i="17"/>
  <c r="Z51" i="17" s="1"/>
  <c r="AA51" i="17" s="1"/>
  <c r="D52" i="17"/>
  <c r="E52" i="17"/>
  <c r="F52" i="17"/>
  <c r="K52" i="17"/>
  <c r="L52" i="17"/>
  <c r="M52" i="17" s="1"/>
  <c r="R52" i="17"/>
  <c r="S52" i="17" s="1"/>
  <c r="T52" i="17" s="1"/>
  <c r="Y52" i="17"/>
  <c r="Z52" i="17"/>
  <c r="AA52" i="17" s="1"/>
  <c r="D53" i="17"/>
  <c r="E53" i="17"/>
  <c r="F53" i="17" s="1"/>
  <c r="K53" i="17"/>
  <c r="L53" i="17" s="1"/>
  <c r="M53" i="17" s="1"/>
  <c r="R53" i="17"/>
  <c r="S53" i="17" s="1"/>
  <c r="T53" i="17" s="1"/>
  <c r="Y53" i="17"/>
  <c r="Z53" i="17"/>
  <c r="AA53" i="17" s="1"/>
  <c r="D54" i="17"/>
  <c r="E54" i="17" s="1"/>
  <c r="F54" i="17" s="1"/>
  <c r="K54" i="17"/>
  <c r="L54" i="17"/>
  <c r="M54" i="17"/>
  <c r="R54" i="17"/>
  <c r="S54" i="17" s="1"/>
  <c r="T54" i="17" s="1"/>
  <c r="Y54" i="17"/>
  <c r="Z54" i="17"/>
  <c r="AA54" i="17" s="1"/>
  <c r="D55" i="17"/>
  <c r="E55" i="17" s="1"/>
  <c r="F55" i="17" s="1"/>
  <c r="K55" i="17"/>
  <c r="L55" i="17" s="1"/>
  <c r="M55" i="17" s="1"/>
  <c r="R55" i="17"/>
  <c r="S55" i="17" s="1"/>
  <c r="T55" i="17" s="1"/>
  <c r="Y55" i="17"/>
  <c r="Z55" i="17"/>
  <c r="AA55" i="17"/>
  <c r="D56" i="17"/>
  <c r="E56" i="17" s="1"/>
  <c r="F56" i="17" s="1"/>
  <c r="K56" i="17"/>
  <c r="L56" i="17" s="1"/>
  <c r="M56" i="17" s="1"/>
  <c r="R56" i="17"/>
  <c r="S56" i="17"/>
  <c r="T56" i="17"/>
  <c r="Y56" i="17"/>
  <c r="Z56" i="17" s="1"/>
  <c r="AA56" i="17" s="1"/>
  <c r="D57" i="17"/>
  <c r="E57" i="17" s="1"/>
  <c r="F57" i="17" s="1"/>
  <c r="K57" i="17"/>
  <c r="L57" i="17"/>
  <c r="M57" i="17"/>
  <c r="R57" i="17"/>
  <c r="S57" i="17" s="1"/>
  <c r="T57" i="17" s="1"/>
  <c r="Y57" i="17"/>
  <c r="Z57" i="17" s="1"/>
  <c r="AA57" i="17" s="1"/>
  <c r="D58" i="17"/>
  <c r="E58" i="17"/>
  <c r="F58" i="17"/>
  <c r="K58" i="17"/>
  <c r="L58" i="17"/>
  <c r="M58" i="17"/>
  <c r="R58" i="17"/>
  <c r="S58" i="17" s="1"/>
  <c r="T58" i="17" s="1"/>
  <c r="Y58" i="17"/>
  <c r="Z58" i="17"/>
  <c r="AA58" i="17" s="1"/>
  <c r="D63" i="17"/>
  <c r="E63" i="17" s="1"/>
  <c r="F63" i="17" s="1"/>
  <c r="K63" i="17"/>
  <c r="L63" i="17"/>
  <c r="M63" i="17" s="1"/>
  <c r="R63" i="17"/>
  <c r="S63" i="17" s="1"/>
  <c r="T63" i="17" s="1"/>
  <c r="Y63" i="17"/>
  <c r="Z63" i="17"/>
  <c r="AA63" i="17" s="1"/>
  <c r="D64" i="17"/>
  <c r="E64" i="17"/>
  <c r="F64" i="17"/>
  <c r="K64" i="17"/>
  <c r="L64" i="17" s="1"/>
  <c r="M64" i="17" s="1"/>
  <c r="R64" i="17"/>
  <c r="S64" i="17" s="1"/>
  <c r="T64" i="17" s="1"/>
  <c r="Y64" i="17"/>
  <c r="Z64" i="17" s="1"/>
  <c r="AA64" i="17" s="1"/>
  <c r="D65" i="17"/>
  <c r="E65" i="17"/>
  <c r="F65" i="17" s="1"/>
  <c r="K65" i="17"/>
  <c r="L65" i="17"/>
  <c r="M65" i="17" s="1"/>
  <c r="R65" i="17"/>
  <c r="S65" i="17" s="1"/>
  <c r="T65" i="17" s="1"/>
  <c r="Y65" i="17"/>
  <c r="Z65" i="17" s="1"/>
  <c r="AA65" i="17" s="1"/>
  <c r="D66" i="17"/>
  <c r="E66" i="17"/>
  <c r="F66" i="17"/>
  <c r="K66" i="17"/>
  <c r="L66" i="17" s="1"/>
  <c r="M66" i="17" s="1"/>
  <c r="R66" i="17"/>
  <c r="S66" i="17" s="1"/>
  <c r="T66" i="17" s="1"/>
  <c r="Y66" i="17"/>
  <c r="Z66" i="17"/>
  <c r="AA66" i="17" s="1"/>
  <c r="D67" i="17"/>
  <c r="E67" i="17"/>
  <c r="F67" i="17" s="1"/>
  <c r="K67" i="17"/>
  <c r="L67" i="17" s="1"/>
  <c r="M67" i="17" s="1"/>
  <c r="R67" i="17"/>
  <c r="S67" i="17" s="1"/>
  <c r="T67" i="17" s="1"/>
  <c r="Y67" i="17"/>
  <c r="Z67" i="17"/>
  <c r="AA67" i="17" s="1"/>
  <c r="D68" i="17"/>
  <c r="E68" i="17" s="1"/>
  <c r="F68" i="17" s="1"/>
  <c r="K68" i="17"/>
  <c r="L68" i="17" s="1"/>
  <c r="M68" i="17" s="1"/>
  <c r="R68" i="17"/>
  <c r="S68" i="17" s="1"/>
  <c r="T68" i="17" s="1"/>
  <c r="Y68" i="17"/>
  <c r="Z68" i="17"/>
  <c r="AA68" i="17"/>
  <c r="D69" i="17"/>
  <c r="E69" i="17" s="1"/>
  <c r="F69" i="17" s="1"/>
  <c r="K69" i="17"/>
  <c r="L69" i="17" s="1"/>
  <c r="M69" i="17" s="1"/>
  <c r="R69" i="17"/>
  <c r="S69" i="17"/>
  <c r="T69" i="17" s="1"/>
  <c r="Y69" i="17"/>
  <c r="Z69" i="17" s="1"/>
  <c r="AA69" i="17" s="1"/>
  <c r="D70" i="17"/>
  <c r="E70" i="17"/>
  <c r="F70" i="17" s="1"/>
  <c r="K70" i="17"/>
  <c r="L70" i="17" s="1"/>
  <c r="M70" i="17" s="1"/>
  <c r="R70" i="17"/>
  <c r="S70" i="17" s="1"/>
  <c r="T70" i="17" s="1"/>
  <c r="Y70" i="17"/>
  <c r="Z70" i="17"/>
  <c r="AA70" i="17"/>
  <c r="D71" i="17"/>
  <c r="E71" i="17" s="1"/>
  <c r="F71" i="17" s="1"/>
  <c r="K71" i="17"/>
  <c r="L71" i="17"/>
  <c r="M71" i="17"/>
  <c r="R71" i="17"/>
  <c r="S71" i="17"/>
  <c r="T71" i="17"/>
  <c r="Y71" i="17"/>
  <c r="Z71" i="17" s="1"/>
  <c r="AA71" i="17" s="1"/>
  <c r="D72" i="17"/>
  <c r="E72" i="17"/>
  <c r="F72" i="17" s="1"/>
  <c r="K72" i="17"/>
  <c r="L72" i="17"/>
  <c r="M72" i="17"/>
  <c r="R72" i="17"/>
  <c r="S72" i="17" s="1"/>
  <c r="T72" i="17" s="1"/>
  <c r="Y72" i="17"/>
  <c r="Z72" i="17" s="1"/>
  <c r="AA72" i="17" s="1"/>
  <c r="D73" i="17"/>
  <c r="E73" i="17" s="1"/>
  <c r="F73" i="17" s="1"/>
  <c r="K73" i="17"/>
  <c r="L73" i="17"/>
  <c r="M73" i="17"/>
  <c r="R73" i="17"/>
  <c r="S73" i="17" s="1"/>
  <c r="T73" i="17" s="1"/>
  <c r="Y73" i="17"/>
  <c r="Z73" i="17" s="1"/>
  <c r="AA73" i="17" s="1"/>
  <c r="D74" i="17"/>
  <c r="E74" i="17"/>
  <c r="F74" i="17"/>
  <c r="K74" i="17"/>
  <c r="L74" i="17" s="1"/>
  <c r="M74" i="17" s="1"/>
  <c r="R74" i="17"/>
  <c r="S74" i="17" s="1"/>
  <c r="T74" i="17" s="1"/>
  <c r="Y74" i="17"/>
  <c r="Z74" i="17" s="1"/>
  <c r="AA74" i="17" s="1"/>
  <c r="D75" i="17"/>
  <c r="E75" i="17" s="1"/>
  <c r="F75" i="17" s="1"/>
  <c r="K75" i="17"/>
  <c r="L75" i="17"/>
  <c r="M75" i="17"/>
  <c r="R75" i="17"/>
  <c r="S75" i="17"/>
  <c r="T75" i="17" s="1"/>
  <c r="Y75" i="17"/>
  <c r="Z75" i="17" s="1"/>
  <c r="AA75" i="17" s="1"/>
  <c r="D76" i="17"/>
  <c r="E76" i="17"/>
  <c r="F76" i="17"/>
  <c r="K76" i="17"/>
  <c r="L76" i="17"/>
  <c r="M76" i="17"/>
  <c r="R76" i="17"/>
  <c r="S76" i="17" s="1"/>
  <c r="T76" i="17" s="1"/>
  <c r="Y76" i="17"/>
  <c r="Z76" i="17" s="1"/>
  <c r="AA76" i="17" s="1"/>
  <c r="D77" i="17"/>
  <c r="E77" i="17"/>
  <c r="F77" i="17"/>
  <c r="K77" i="17"/>
  <c r="L77" i="17"/>
  <c r="M77" i="17" s="1"/>
  <c r="R77" i="17"/>
  <c r="S77" i="17" s="1"/>
  <c r="T77" i="17" s="1"/>
  <c r="Y77" i="17"/>
  <c r="Z77" i="17"/>
  <c r="AA77" i="17" s="1"/>
  <c r="D78" i="17"/>
  <c r="E78" i="17"/>
  <c r="F78" i="17" s="1"/>
  <c r="K78" i="17"/>
  <c r="L78" i="17" s="1"/>
  <c r="M78" i="17" s="1"/>
  <c r="R78" i="17"/>
  <c r="S78" i="17" s="1"/>
  <c r="T78" i="17" s="1"/>
  <c r="Y78" i="17"/>
  <c r="Z78" i="17"/>
  <c r="AA78" i="17" s="1"/>
  <c r="M80" i="17" l="1"/>
  <c r="T60" i="17"/>
  <c r="AA20" i="17"/>
  <c r="T40" i="17"/>
  <c r="F40" i="17"/>
  <c r="M40" i="17"/>
  <c r="T20" i="17"/>
  <c r="AA60" i="17"/>
  <c r="F80" i="17"/>
  <c r="AA40" i="17"/>
  <c r="T80" i="17"/>
  <c r="F60" i="17"/>
  <c r="M60" i="17"/>
  <c r="AA80" i="17"/>
  <c r="M20" i="17"/>
  <c r="F20" i="17"/>
  <c r="K66" i="15"/>
  <c r="L66" i="15" s="1"/>
  <c r="M66" i="15" s="1"/>
  <c r="K67" i="15"/>
  <c r="L67" i="15" s="1"/>
  <c r="M67" i="15" s="1"/>
  <c r="K68" i="15"/>
  <c r="L68" i="15"/>
  <c r="M68" i="15" s="1"/>
  <c r="K69" i="15"/>
  <c r="L69" i="15"/>
  <c r="M69" i="15"/>
  <c r="K70" i="15"/>
  <c r="L70" i="15"/>
  <c r="M70" i="15"/>
  <c r="K71" i="15"/>
  <c r="L71" i="15" s="1"/>
  <c r="M71" i="15" s="1"/>
  <c r="K72" i="15"/>
  <c r="L72" i="15"/>
  <c r="M72" i="15" s="1"/>
  <c r="K73" i="15"/>
  <c r="L73" i="15"/>
  <c r="M73" i="15"/>
  <c r="K74" i="15"/>
  <c r="L74" i="15" s="1"/>
  <c r="M74" i="15" s="1"/>
  <c r="B75" i="15"/>
  <c r="B74" i="15" s="1"/>
  <c r="K75" i="15"/>
  <c r="L75" i="15" s="1"/>
  <c r="M75" i="15" s="1"/>
  <c r="D76" i="15"/>
  <c r="E76" i="15"/>
  <c r="F76" i="15" s="1"/>
  <c r="K76" i="15"/>
  <c r="L76" i="15"/>
  <c r="M76" i="15"/>
  <c r="K86" i="15"/>
  <c r="L86" i="15"/>
  <c r="M86" i="15" s="1"/>
  <c r="K87" i="15"/>
  <c r="L87" i="15" s="1"/>
  <c r="M87" i="15" s="1"/>
  <c r="K88" i="15"/>
  <c r="L88" i="15" s="1"/>
  <c r="M88" i="15" s="1"/>
  <c r="K89" i="15"/>
  <c r="L89" i="15" s="1"/>
  <c r="M89" i="15" s="1"/>
  <c r="K90" i="15"/>
  <c r="L90" i="15"/>
  <c r="M90" i="15" s="1"/>
  <c r="K91" i="15"/>
  <c r="L91" i="15"/>
  <c r="M91" i="15"/>
  <c r="K92" i="15"/>
  <c r="L92" i="15"/>
  <c r="M92" i="15"/>
  <c r="B93" i="15"/>
  <c r="B92" i="15" s="1"/>
  <c r="K93" i="15"/>
  <c r="L93" i="15" s="1"/>
  <c r="M93" i="15" s="1"/>
  <c r="B94" i="15"/>
  <c r="D94" i="15"/>
  <c r="E94" i="15" s="1"/>
  <c r="F94" i="15" s="1"/>
  <c r="K94" i="15"/>
  <c r="L94" i="15"/>
  <c r="M94" i="15" s="1"/>
  <c r="B95" i="15"/>
  <c r="D95" i="15"/>
  <c r="E95" i="15"/>
  <c r="F95" i="15" s="1"/>
  <c r="K95" i="15"/>
  <c r="L95" i="15" s="1"/>
  <c r="M95" i="15" s="1"/>
  <c r="D96" i="15"/>
  <c r="E96" i="15"/>
  <c r="F96" i="15"/>
  <c r="K96" i="15"/>
  <c r="L96" i="15" s="1"/>
  <c r="M96" i="15" s="1"/>
  <c r="B91" i="15" l="1"/>
  <c r="D92" i="15"/>
  <c r="E92" i="15" s="1"/>
  <c r="F92" i="15" s="1"/>
  <c r="M99" i="15"/>
  <c r="B73" i="15"/>
  <c r="D74" i="15"/>
  <c r="E74" i="15" s="1"/>
  <c r="F74" i="15" s="1"/>
  <c r="M79" i="15"/>
  <c r="D75" i="15"/>
  <c r="E75" i="15" s="1"/>
  <c r="F75" i="15" s="1"/>
  <c r="D93" i="15"/>
  <c r="E93" i="15" s="1"/>
  <c r="F93" i="15" s="1"/>
  <c r="D12" i="13"/>
  <c r="E12" i="13"/>
  <c r="E13" i="13" s="1"/>
  <c r="F12" i="13"/>
  <c r="F13" i="13" s="1"/>
  <c r="G12" i="13"/>
  <c r="G13" i="13" s="1"/>
  <c r="H12" i="13"/>
  <c r="H13" i="13" s="1"/>
  <c r="I12" i="13"/>
  <c r="I13" i="13" s="1"/>
  <c r="J12" i="13"/>
  <c r="J13" i="13" s="1"/>
  <c r="K12" i="13"/>
  <c r="L12" i="13"/>
  <c r="M12" i="13"/>
  <c r="N12" i="13"/>
  <c r="N13" i="13" s="1"/>
  <c r="O12" i="13"/>
  <c r="O13" i="13" s="1"/>
  <c r="P12" i="13"/>
  <c r="P13" i="13" s="1"/>
  <c r="Q12" i="13"/>
  <c r="Q13" i="13" s="1"/>
  <c r="R12" i="13"/>
  <c r="R13" i="13" s="1"/>
  <c r="S12" i="13"/>
  <c r="S13" i="13" s="1"/>
  <c r="T12" i="13"/>
  <c r="T13" i="13" s="1"/>
  <c r="U12" i="13"/>
  <c r="U13" i="13" s="1"/>
  <c r="V12" i="13"/>
  <c r="V13" i="13" s="1"/>
  <c r="W12" i="13"/>
  <c r="W13" i="13" s="1"/>
  <c r="X12" i="13"/>
  <c r="X13" i="13" s="1"/>
  <c r="Y12" i="13"/>
  <c r="Y13" i="13" s="1"/>
  <c r="K13" i="13"/>
  <c r="L13" i="13"/>
  <c r="M13" i="13"/>
  <c r="D14" i="13"/>
  <c r="E14" i="13"/>
  <c r="E15" i="13" s="1"/>
  <c r="F14" i="13"/>
  <c r="F15" i="13" s="1"/>
  <c r="G14" i="13"/>
  <c r="G15" i="13" s="1"/>
  <c r="H14" i="13"/>
  <c r="I14" i="13"/>
  <c r="J14" i="13"/>
  <c r="K14" i="13"/>
  <c r="L14" i="13"/>
  <c r="L15" i="13" s="1"/>
  <c r="M14" i="13"/>
  <c r="M15" i="13" s="1"/>
  <c r="N14" i="13"/>
  <c r="N15" i="13" s="1"/>
  <c r="O14" i="13"/>
  <c r="O15" i="13" s="1"/>
  <c r="P14" i="13"/>
  <c r="Q14" i="13"/>
  <c r="Q15" i="13" s="1"/>
  <c r="R14" i="13"/>
  <c r="R15" i="13" s="1"/>
  <c r="S14" i="13"/>
  <c r="S15" i="13" s="1"/>
  <c r="T14" i="13"/>
  <c r="T15" i="13" s="1"/>
  <c r="U14" i="13"/>
  <c r="U15" i="13" s="1"/>
  <c r="V14" i="13"/>
  <c r="V15" i="13" s="1"/>
  <c r="W14" i="13"/>
  <c r="W15" i="13" s="1"/>
  <c r="X14" i="13"/>
  <c r="Y14" i="13"/>
  <c r="H15" i="13"/>
  <c r="I15" i="13"/>
  <c r="J15" i="13"/>
  <c r="K15" i="13"/>
  <c r="P15" i="13"/>
  <c r="X15" i="13"/>
  <c r="Y15" i="13"/>
  <c r="E17" i="13"/>
  <c r="F17" i="13"/>
  <c r="G17" i="13"/>
  <c r="H17" i="13"/>
  <c r="L17" i="13"/>
  <c r="M17" i="13"/>
  <c r="N17" i="13"/>
  <c r="O17" i="13"/>
  <c r="S17" i="13"/>
  <c r="T17" i="13"/>
  <c r="U17" i="13"/>
  <c r="V17" i="13"/>
  <c r="E18" i="13"/>
  <c r="F18" i="13"/>
  <c r="G18" i="13"/>
  <c r="H18" i="13"/>
  <c r="L18" i="13"/>
  <c r="M18" i="13"/>
  <c r="N18" i="13"/>
  <c r="O18" i="13"/>
  <c r="S18" i="13"/>
  <c r="T18" i="13"/>
  <c r="U18" i="13"/>
  <c r="V18" i="13"/>
  <c r="B47" i="13"/>
  <c r="B48" i="13" s="1"/>
  <c r="C47" i="13"/>
  <c r="C48" i="13" s="1"/>
  <c r="C49" i="13" s="1"/>
  <c r="D47" i="13"/>
  <c r="D48" i="13" s="1"/>
  <c r="D49" i="13" s="1"/>
  <c r="E47" i="13"/>
  <c r="F47" i="13"/>
  <c r="G47" i="13"/>
  <c r="G48" i="13" s="1"/>
  <c r="G49" i="13" s="1"/>
  <c r="H47" i="13"/>
  <c r="H48" i="13" s="1"/>
  <c r="H49" i="13" s="1"/>
  <c r="I47" i="13"/>
  <c r="I48" i="13" s="1"/>
  <c r="I49" i="13" s="1"/>
  <c r="J47" i="13"/>
  <c r="J48" i="13" s="1"/>
  <c r="J49" i="13" s="1"/>
  <c r="K47" i="13"/>
  <c r="L47" i="13"/>
  <c r="L48" i="13" s="1"/>
  <c r="L49" i="13" s="1"/>
  <c r="M47" i="13"/>
  <c r="N47" i="13"/>
  <c r="O47" i="13"/>
  <c r="O48" i="13" s="1"/>
  <c r="O49" i="13" s="1"/>
  <c r="P47" i="13"/>
  <c r="P48" i="13" s="1"/>
  <c r="P49" i="13" s="1"/>
  <c r="Q47" i="13"/>
  <c r="Q48" i="13" s="1"/>
  <c r="Q49" i="13" s="1"/>
  <c r="R47" i="13"/>
  <c r="R48" i="13" s="1"/>
  <c r="R49" i="13" s="1"/>
  <c r="S47" i="13"/>
  <c r="S48" i="13" s="1"/>
  <c r="S49" i="13" s="1"/>
  <c r="T47" i="13"/>
  <c r="T48" i="13" s="1"/>
  <c r="T49" i="13" s="1"/>
  <c r="U47" i="13"/>
  <c r="V47" i="13"/>
  <c r="W47" i="13"/>
  <c r="W48" i="13" s="1"/>
  <c r="W49" i="13" s="1"/>
  <c r="E48" i="13"/>
  <c r="F48" i="13"/>
  <c r="F49" i="13" s="1"/>
  <c r="K48" i="13"/>
  <c r="K49" i="13" s="1"/>
  <c r="M48" i="13"/>
  <c r="N48" i="13"/>
  <c r="U48" i="13"/>
  <c r="U49" i="13" s="1"/>
  <c r="V48" i="13"/>
  <c r="V49" i="13" s="1"/>
  <c r="E49" i="13"/>
  <c r="M49" i="13"/>
  <c r="N49" i="13"/>
  <c r="B55" i="13"/>
  <c r="B56" i="13" s="1"/>
  <c r="C55" i="13"/>
  <c r="C56" i="13" s="1"/>
  <c r="C57" i="13" s="1"/>
  <c r="D55" i="13"/>
  <c r="D56" i="13" s="1"/>
  <c r="D57" i="13" s="1"/>
  <c r="E55" i="13"/>
  <c r="F55" i="13"/>
  <c r="F56" i="13" s="1"/>
  <c r="F57" i="13" s="1"/>
  <c r="G55" i="13"/>
  <c r="G56" i="13" s="1"/>
  <c r="G57" i="13" s="1"/>
  <c r="H55" i="13"/>
  <c r="H56" i="13" s="1"/>
  <c r="H57" i="13" s="1"/>
  <c r="I55" i="13"/>
  <c r="I56" i="13" s="1"/>
  <c r="I57" i="13" s="1"/>
  <c r="J55" i="13"/>
  <c r="K55" i="13"/>
  <c r="K56" i="13" s="1"/>
  <c r="K57" i="13" s="1"/>
  <c r="L55" i="13"/>
  <c r="L56" i="13" s="1"/>
  <c r="L57" i="13" s="1"/>
  <c r="M55" i="13"/>
  <c r="N55" i="13"/>
  <c r="N56" i="13" s="1"/>
  <c r="N57" i="13" s="1"/>
  <c r="O55" i="13"/>
  <c r="O56" i="13" s="1"/>
  <c r="O57" i="13" s="1"/>
  <c r="P55" i="13"/>
  <c r="P56" i="13" s="1"/>
  <c r="P57" i="13" s="1"/>
  <c r="Q55" i="13"/>
  <c r="Q56" i="13" s="1"/>
  <c r="Q57" i="13" s="1"/>
  <c r="R55" i="13"/>
  <c r="R56" i="13" s="1"/>
  <c r="R57" i="13" s="1"/>
  <c r="S55" i="13"/>
  <c r="S56" i="13" s="1"/>
  <c r="S57" i="13" s="1"/>
  <c r="T55" i="13"/>
  <c r="T56" i="13" s="1"/>
  <c r="T57" i="13" s="1"/>
  <c r="U55" i="13"/>
  <c r="V55" i="13"/>
  <c r="V56" i="13" s="1"/>
  <c r="V57" i="13" s="1"/>
  <c r="W55" i="13"/>
  <c r="W56" i="13" s="1"/>
  <c r="W57" i="13" s="1"/>
  <c r="E56" i="13"/>
  <c r="E57" i="13" s="1"/>
  <c r="J56" i="13"/>
  <c r="J57" i="13" s="1"/>
  <c r="M56" i="13"/>
  <c r="U56" i="13"/>
  <c r="U57" i="13" s="1"/>
  <c r="M57" i="13"/>
  <c r="D73" i="15" l="1"/>
  <c r="E73" i="15" s="1"/>
  <c r="F73" i="15" s="1"/>
  <c r="B72" i="15"/>
  <c r="B90" i="15"/>
  <c r="D91" i="15"/>
  <c r="E91" i="15" s="1"/>
  <c r="F91" i="15" s="1"/>
  <c r="D90" i="15" l="1"/>
  <c r="E90" i="15" s="1"/>
  <c r="F90" i="15" s="1"/>
  <c r="B89" i="15"/>
  <c r="B71" i="15"/>
  <c r="D72" i="15"/>
  <c r="E72" i="15" s="1"/>
  <c r="F72" i="15" s="1"/>
  <c r="B70" i="15" l="1"/>
  <c r="D71" i="15"/>
  <c r="E71" i="15" s="1"/>
  <c r="F71" i="15" s="1"/>
  <c r="B88" i="15"/>
  <c r="D89" i="15"/>
  <c r="E89" i="15" s="1"/>
  <c r="F89" i="15" s="1"/>
  <c r="B87" i="15" l="1"/>
  <c r="D88" i="15"/>
  <c r="E88" i="15" s="1"/>
  <c r="F88" i="15" s="1"/>
  <c r="B69" i="15"/>
  <c r="D70" i="15"/>
  <c r="E70" i="15" s="1"/>
  <c r="F70" i="15" s="1"/>
  <c r="B68" i="15" l="1"/>
  <c r="D69" i="15"/>
  <c r="E69" i="15" s="1"/>
  <c r="F69" i="15" s="1"/>
  <c r="D87" i="15"/>
  <c r="E87" i="15" s="1"/>
  <c r="F87" i="15" s="1"/>
  <c r="B86" i="15"/>
  <c r="D86" i="15" l="1"/>
  <c r="E86" i="15" s="1"/>
  <c r="F86" i="15" s="1"/>
  <c r="B85" i="15"/>
  <c r="D68" i="15"/>
  <c r="E68" i="15" s="1"/>
  <c r="F68" i="15" s="1"/>
  <c r="B67" i="15"/>
  <c r="B66" i="15" l="1"/>
  <c r="D67" i="15"/>
  <c r="E67" i="15" s="1"/>
  <c r="F67" i="15" s="1"/>
  <c r="D85" i="15"/>
  <c r="E85" i="15" s="1"/>
  <c r="F85" i="15" s="1"/>
  <c r="B84" i="15"/>
  <c r="B83" i="15" l="1"/>
  <c r="D83" i="15" s="1"/>
  <c r="E83" i="15" s="1"/>
  <c r="F83" i="15" s="1"/>
  <c r="D84" i="15"/>
  <c r="E84" i="15" s="1"/>
  <c r="F84" i="15" s="1"/>
  <c r="B65" i="15"/>
  <c r="D66" i="15"/>
  <c r="E66" i="15" s="1"/>
  <c r="F66" i="15" s="1"/>
  <c r="D65" i="15" l="1"/>
  <c r="E65" i="15" s="1"/>
  <c r="F65" i="15" s="1"/>
  <c r="B64" i="15"/>
  <c r="F99" i="15"/>
  <c r="F126" i="15" l="1"/>
  <c r="F134" i="15"/>
  <c r="F131" i="15"/>
  <c r="F124" i="15"/>
  <c r="F125" i="15"/>
  <c r="F127" i="15"/>
  <c r="F135" i="15"/>
  <c r="F129" i="15"/>
  <c r="F123" i="15"/>
  <c r="F133" i="15"/>
  <c r="F128" i="15"/>
  <c r="F132" i="15"/>
  <c r="F122" i="15"/>
  <c r="F130" i="15"/>
  <c r="B63" i="15"/>
  <c r="D63" i="15" s="1"/>
  <c r="E63" i="15" s="1"/>
  <c r="F63" i="15" s="1"/>
  <c r="F79" i="15" s="1"/>
  <c r="D64" i="15"/>
  <c r="E64" i="15" s="1"/>
  <c r="F64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ID#AAABbGVOUok
Tecan    (2024-12-28 22:03:48)
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</t>
        </r>
      </text>
    </comment>
    <comment ref="E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======
ID#AAABbGVOUns
Tecan    (2024-12-28 22:03:47)
HCP, V_4.25_05/15_Infinite (May 11 2015/13.53.33)
LUM, V_2.20_02/2015_LUMINESCENCE (May 11 2015/13.53.33)
FIL, V_4.25_05/15_Infinite (May 11 2015/13.53.33)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4nfzocL1A0XcwFqqHthNK6Dqxg=="/>
    </ext>
  </extLst>
</comments>
</file>

<file path=xl/sharedStrings.xml><?xml version="1.0" encoding="utf-8"?>
<sst xmlns="http://schemas.openxmlformats.org/spreadsheetml/2006/main" count="2076" uniqueCount="168">
  <si>
    <t>Application: Tecan i-control</t>
  </si>
  <si>
    <t>Tecan i-control , 2.0.10.0</t>
  </si>
  <si>
    <t>Device: infinite 200Pro</t>
  </si>
  <si>
    <t>Serial number: 1512001149</t>
  </si>
  <si>
    <t>Serial number of connected stacker:</t>
  </si>
  <si>
    <t>Firmware: V_4.25_05/15_Infinite (May 11 2015/13.53.33)</t>
  </si>
  <si>
    <t>MAI, V_4.25_05/15_Infinite (May 11 2015/13.53.33)</t>
  </si>
  <si>
    <t>System</t>
  </si>
  <si>
    <t>TECAN-HP800</t>
  </si>
  <si>
    <t>User</t>
  </si>
  <si>
    <t>Tecan-HP800\Tecan</t>
  </si>
  <si>
    <t>Plate</t>
  </si>
  <si>
    <t>Corning 384 Flat Bottom Black Polystyrene Cat. No.:  3655/3711 [COS384fb.pdfx]</t>
  </si>
  <si>
    <t>Plate-ID (Stacker)</t>
  </si>
  <si>
    <t>List of actions in this measurement script:</t>
  </si>
  <si>
    <t>Fluorescence Polarization</t>
  </si>
  <si>
    <t>Measurement well-wise</t>
  </si>
  <si>
    <t>Mode</t>
  </si>
  <si>
    <t>Label2: Excitation Wavelength</t>
  </si>
  <si>
    <t>nm</t>
  </si>
  <si>
    <t>Label2: Emission Wavelength</t>
  </si>
  <si>
    <t>Label2: Excitation Bandwidth</t>
  </si>
  <si>
    <t>Label2: Emission Bandwidth</t>
  </si>
  <si>
    <t>Label2: Gain</t>
  </si>
  <si>
    <t>Optimal (100%)</t>
  </si>
  <si>
    <t>Label2: Number of Flashes</t>
  </si>
  <si>
    <t>Label2: Integration Time</t>
  </si>
  <si>
    <t>µs</t>
  </si>
  <si>
    <t>Label2: Settle Time</t>
  </si>
  <si>
    <t>ms</t>
  </si>
  <si>
    <t>G-Factor</t>
  </si>
  <si>
    <t>(Calibrated value, 2/28/2020 by Tecan)</t>
  </si>
  <si>
    <t>Measurement Blank</t>
  </si>
  <si>
    <t>Legend</t>
  </si>
  <si>
    <t>Color for Measurement Blank</t>
  </si>
  <si>
    <t>Part of Plate</t>
  </si>
  <si>
    <t>Polarization</t>
  </si>
  <si>
    <t>Blank</t>
  </si>
  <si>
    <t>Anisotropy</t>
  </si>
  <si>
    <t>Total Intensity</t>
  </si>
  <si>
    <t>Rawdata (parallel)</t>
  </si>
  <si>
    <t>Rawdata (perpendicular)</t>
  </si>
  <si>
    <t>A21-F21</t>
  </si>
  <si>
    <t>A21-F24</t>
  </si>
  <si>
    <t>Temperature: 21.5 °C</t>
  </si>
  <si>
    <t>&lt;&gt;</t>
  </si>
  <si>
    <t>A</t>
  </si>
  <si>
    <t>B</t>
  </si>
  <si>
    <t>C</t>
  </si>
  <si>
    <t>D</t>
  </si>
  <si>
    <t>E</t>
  </si>
  <si>
    <t>F</t>
  </si>
  <si>
    <t>INVALID</t>
  </si>
  <si>
    <t>wt_random</t>
  </si>
  <si>
    <t>wt_TP53</t>
  </si>
  <si>
    <t>H2</t>
  </si>
  <si>
    <t>H1.5</t>
  </si>
  <si>
    <t>H1</t>
  </si>
  <si>
    <t>B1</t>
  </si>
  <si>
    <t>200 nM</t>
  </si>
  <si>
    <t>100 nM</t>
  </si>
  <si>
    <t>50 nM</t>
  </si>
  <si>
    <t>Original Filename: 20210115_G0.8; Date Last Saved: 1/16/2021 4:29:00 PM</t>
  </si>
  <si>
    <t>~End</t>
  </si>
  <si>
    <t xml:space="preserve"> </t>
  </si>
  <si>
    <t>Manual</t>
  </si>
  <si>
    <t>Reduced</t>
  </si>
  <si>
    <t>Fluor Polarization</t>
  </si>
  <si>
    <t>Endpoint</t>
  </si>
  <si>
    <t>PlateFormat</t>
  </si>
  <si>
    <t>Plate2</t>
  </si>
  <si>
    <t>Plate:</t>
  </si>
  <si>
    <t>Plate1</t>
  </si>
  <si>
    <t>##BLOCKS= 2</t>
  </si>
  <si>
    <t>random fitted curve</t>
  </si>
  <si>
    <t>random data points</t>
  </si>
  <si>
    <t>spacer-PAM fitted curve</t>
  </si>
  <si>
    <t>spacer-PAM data points</t>
  </si>
  <si>
    <t>B1 + Heparin</t>
  </si>
  <si>
    <t>SSR</t>
  </si>
  <si>
    <r>
      <t>D</t>
    </r>
    <r>
      <rPr>
        <b/>
        <sz val="11"/>
        <color theme="1"/>
        <rFont val="Calibri (Body)_x0000_"/>
      </rPr>
      <t>t</t>
    </r>
  </si>
  <si>
    <t>Fm</t>
  </si>
  <si>
    <t>Kd</t>
  </si>
  <si>
    <t>B1+H</t>
  </si>
  <si>
    <t>raw data</t>
  </si>
  <si>
    <t>46bp random</t>
  </si>
  <si>
    <t>residual^2</t>
  </si>
  <si>
    <t>residual</t>
  </si>
  <si>
    <t>FP_fit1</t>
  </si>
  <si>
    <t>FP</t>
  </si>
  <si>
    <t>P</t>
  </si>
  <si>
    <t>PAM-spacer</t>
  </si>
  <si>
    <t>B1H</t>
  </si>
  <si>
    <t>MTHFR</t>
  </si>
  <si>
    <t>9 nM</t>
  </si>
  <si>
    <t>3 nM</t>
  </si>
  <si>
    <t>1 nM</t>
  </si>
  <si>
    <t>0.5 nM</t>
  </si>
  <si>
    <t>3 h</t>
  </si>
  <si>
    <t>1 h</t>
  </si>
  <si>
    <t>30min</t>
  </si>
  <si>
    <t>10min</t>
  </si>
  <si>
    <t>AGG</t>
  </si>
  <si>
    <t>WT</t>
  </si>
  <si>
    <t>control</t>
  </si>
  <si>
    <t>T</t>
  </si>
  <si>
    <t>G</t>
  </si>
  <si>
    <t>CGG</t>
  </si>
  <si>
    <t>mCGG</t>
  </si>
  <si>
    <t>hmCGG</t>
  </si>
  <si>
    <t>AAG</t>
  </si>
  <si>
    <t>GAG</t>
  </si>
  <si>
    <t>STDEV</t>
  </si>
  <si>
    <t>MC</t>
  </si>
  <si>
    <t>HMC</t>
  </si>
  <si>
    <t>NGG</t>
  </si>
  <si>
    <t>VRER</t>
  </si>
  <si>
    <t>NGCG</t>
  </si>
  <si>
    <t>HF1</t>
  </si>
  <si>
    <t>Hypa</t>
  </si>
  <si>
    <t>evo</t>
  </si>
  <si>
    <t>superFi</t>
  </si>
  <si>
    <r>
      <t>D</t>
    </r>
    <r>
      <rPr>
        <b/>
        <sz val="11"/>
        <color theme="1"/>
        <rFont val="Helvetica"/>
        <family val="2"/>
      </rPr>
      <t>t</t>
    </r>
  </si>
  <si>
    <r>
      <t>D</t>
    </r>
    <r>
      <rPr>
        <b/>
        <sz val="11"/>
        <color theme="1"/>
        <rFont val="Calibri"/>
        <family val="2"/>
        <scheme val="minor"/>
      </rPr>
      <t>t</t>
    </r>
  </si>
  <si>
    <t>heparin 2</t>
  </si>
  <si>
    <t>DNA 5</t>
  </si>
  <si>
    <t>DNA 10</t>
  </si>
  <si>
    <t>NO PAM</t>
  </si>
  <si>
    <t>NO Spacer</t>
  </si>
  <si>
    <t>TTTC_spacer</t>
  </si>
  <si>
    <t>TTTmC_spacer</t>
  </si>
  <si>
    <t>TTThmC_spacer</t>
  </si>
  <si>
    <t>normalization</t>
  </si>
  <si>
    <t>Negative</t>
  </si>
  <si>
    <t>Sample</t>
  </si>
  <si>
    <t>negative</t>
  </si>
  <si>
    <t>sample</t>
  </si>
  <si>
    <t>Negative control</t>
  </si>
  <si>
    <t>Samples</t>
  </si>
  <si>
    <t>Average</t>
  </si>
  <si>
    <t>mean value</t>
  </si>
  <si>
    <t>geometric mean</t>
  </si>
  <si>
    <t>median</t>
  </si>
  <si>
    <t>cells</t>
  </si>
  <si>
    <t>mean*cells</t>
  </si>
  <si>
    <t>Geometric mean*cells</t>
  </si>
  <si>
    <t>wt AGG</t>
  </si>
  <si>
    <t>KE1 AGG</t>
  </si>
  <si>
    <t>RR1 AGG</t>
  </si>
  <si>
    <t>R3 AGG</t>
  </si>
  <si>
    <t>STDEV-control</t>
  </si>
  <si>
    <t>STDEV-sample</t>
  </si>
  <si>
    <t>Geometry mean*cells</t>
  </si>
  <si>
    <t>KE1</t>
  </si>
  <si>
    <t>RR1</t>
  </si>
  <si>
    <t>R3</t>
  </si>
  <si>
    <t>KR1</t>
  </si>
  <si>
    <t>KE2</t>
  </si>
  <si>
    <t>RE1R2</t>
  </si>
  <si>
    <t>KRE</t>
  </si>
  <si>
    <t>R1Q2</t>
  </si>
  <si>
    <t>R1R2</t>
  </si>
  <si>
    <t>RR2</t>
  </si>
  <si>
    <t>RR1E2</t>
  </si>
  <si>
    <t>RQ2</t>
  </si>
  <si>
    <t>RR1Q2</t>
  </si>
  <si>
    <r>
      <t>D</t>
    </r>
    <r>
      <rPr>
        <sz val="11"/>
        <color theme="1"/>
        <rFont val="Calibri (Body)_x0000_"/>
      </rPr>
      <t>t</t>
    </r>
  </si>
  <si>
    <r>
      <t>D</t>
    </r>
    <r>
      <rPr>
        <sz val="11"/>
        <color theme="1"/>
        <rFont val="Arial"/>
        <family val="2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</si>
</sst>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(Body)_x0000_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Helvetica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B7B7B7"/>
      <name val="Calibri"/>
      <family val="2"/>
      <scheme val="minor"/>
    </font>
    <font>
      <sz val="10"/>
      <color rgb="FFB7B7B7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7F7F7F"/>
      <name val="Calibri"/>
      <family val="2"/>
      <scheme val="minor"/>
    </font>
    <font>
      <sz val="11"/>
      <color theme="1"/>
      <name val="Calibri (Body)_x0000_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DFF2F"/>
        <bgColor rgb="FFADFF2F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1"/>
    <xf numFmtId="0" fontId="4" fillId="0" borderId="1"/>
    <xf numFmtId="0" fontId="15" fillId="0" borderId="1"/>
  </cellStyleXfs>
  <cellXfs count="69">
    <xf numFmtId="0" fontId="0" fillId="0" borderId="0" xfId="0"/>
    <xf numFmtId="0" fontId="4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6" fillId="4" borderId="1" xfId="0" applyFont="1" applyFill="1" applyBorder="1"/>
    <xf numFmtId="0" fontId="7" fillId="3" borderId="1" xfId="0" applyFont="1" applyFill="1" applyBorder="1"/>
    <xf numFmtId="0" fontId="3" fillId="0" borderId="1" xfId="1"/>
    <xf numFmtId="0" fontId="9" fillId="0" borderId="1" xfId="1" applyFont="1"/>
    <xf numFmtId="0" fontId="10" fillId="0" borderId="1" xfId="1" applyFont="1"/>
    <xf numFmtId="0" fontId="8" fillId="0" borderId="1" xfId="1" applyFont="1"/>
    <xf numFmtId="0" fontId="4" fillId="0" borderId="1" xfId="2"/>
    <xf numFmtId="0" fontId="10" fillId="0" borderId="1" xfId="2" applyFont="1"/>
    <xf numFmtId="0" fontId="8" fillId="0" borderId="1" xfId="2" applyFont="1"/>
    <xf numFmtId="0" fontId="2" fillId="0" borderId="1" xfId="2" applyFont="1"/>
    <xf numFmtId="14" fontId="4" fillId="5" borderId="1" xfId="2" applyNumberFormat="1" applyFill="1"/>
    <xf numFmtId="0" fontId="4" fillId="0" borderId="1" xfId="2" applyAlignment="1">
      <alignment horizontal="center" vertical="center"/>
    </xf>
    <xf numFmtId="0" fontId="2" fillId="0" borderId="1" xfId="1" applyFont="1"/>
    <xf numFmtId="14" fontId="2" fillId="5" borderId="1" xfId="1" applyNumberFormat="1" applyFont="1" applyFill="1"/>
    <xf numFmtId="0" fontId="4" fillId="0" borderId="1" xfId="1" applyFont="1"/>
    <xf numFmtId="0" fontId="6" fillId="0" borderId="1" xfId="0" applyFont="1" applyBorder="1"/>
    <xf numFmtId="0" fontId="4" fillId="7" borderId="1" xfId="2" applyFill="1"/>
    <xf numFmtId="0" fontId="10" fillId="0" borderId="0" xfId="0" applyFont="1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2" fillId="0" borderId="0" xfId="0" applyFont="1"/>
    <xf numFmtId="14" fontId="4" fillId="0" borderId="0" xfId="0" applyNumberFormat="1" applyFont="1"/>
    <xf numFmtId="0" fontId="13" fillId="0" borderId="0" xfId="0" applyFont="1"/>
    <xf numFmtId="14" fontId="4" fillId="5" borderId="0" xfId="0" applyNumberFormat="1" applyFont="1" applyFill="1"/>
    <xf numFmtId="14" fontId="4" fillId="6" borderId="1" xfId="0" applyNumberFormat="1" applyFont="1" applyFill="1" applyBorder="1"/>
    <xf numFmtId="0" fontId="4" fillId="0" borderId="1" xfId="0" applyFont="1" applyBorder="1"/>
    <xf numFmtId="0" fontId="10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2" fontId="4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4" fillId="0" borderId="0" xfId="0" applyNumberFormat="1" applyFont="1"/>
    <xf numFmtId="14" fontId="4" fillId="6" borderId="0" xfId="0" applyNumberFormat="1" applyFont="1" applyFill="1"/>
    <xf numFmtId="2" fontId="4" fillId="0" borderId="1" xfId="0" applyNumberFormat="1" applyFont="1" applyBorder="1"/>
    <xf numFmtId="0" fontId="15" fillId="0" borderId="1" xfId="3"/>
    <xf numFmtId="2" fontId="16" fillId="0" borderId="1" xfId="3" applyNumberFormat="1" applyFont="1"/>
    <xf numFmtId="0" fontId="16" fillId="0" borderId="1" xfId="3" applyFont="1"/>
    <xf numFmtId="0" fontId="17" fillId="0" borderId="1" xfId="3" applyFont="1"/>
    <xf numFmtId="0" fontId="18" fillId="0" borderId="1" xfId="3" applyFont="1"/>
    <xf numFmtId="2" fontId="17" fillId="0" borderId="1" xfId="3" applyNumberFormat="1" applyFont="1"/>
    <xf numFmtId="0" fontId="19" fillId="0" borderId="1" xfId="3" applyFont="1"/>
    <xf numFmtId="0" fontId="4" fillId="0" borderId="1" xfId="2" applyAlignment="1">
      <alignment horizontal="center"/>
    </xf>
    <xf numFmtId="0" fontId="1" fillId="0" borderId="0" xfId="0" applyFont="1"/>
    <xf numFmtId="14" fontId="5" fillId="0" borderId="1" xfId="2" applyNumberFormat="1" applyFont="1"/>
    <xf numFmtId="0" fontId="5" fillId="0" borderId="1" xfId="2" applyFont="1"/>
    <xf numFmtId="0" fontId="5" fillId="0" borderId="1" xfId="2" applyFont="1" applyAlignment="1">
      <alignment horizontal="center" vertical="center"/>
    </xf>
    <xf numFmtId="0" fontId="5" fillId="0" borderId="1" xfId="2" applyFont="1" applyAlignment="1">
      <alignment horizontal="center"/>
    </xf>
    <xf numFmtId="2" fontId="12" fillId="0" borderId="1" xfId="2" applyNumberFormat="1" applyFont="1" applyAlignment="1">
      <alignment horizontal="center" vertical="center"/>
    </xf>
    <xf numFmtId="2" fontId="12" fillId="0" borderId="1" xfId="2" applyNumberFormat="1" applyFont="1" applyAlignment="1">
      <alignment horizontal="center"/>
    </xf>
    <xf numFmtId="2" fontId="5" fillId="0" borderId="1" xfId="2" applyNumberFormat="1" applyFont="1" applyAlignment="1">
      <alignment horizontal="center" vertical="center"/>
    </xf>
    <xf numFmtId="0" fontId="12" fillId="0" borderId="1" xfId="2" applyFont="1"/>
    <xf numFmtId="14" fontId="4" fillId="0" borderId="1" xfId="2" applyNumberFormat="1"/>
    <xf numFmtId="0" fontId="1" fillId="0" borderId="1" xfId="2" applyFont="1"/>
    <xf numFmtId="0" fontId="20" fillId="0" borderId="0" xfId="0" applyFont="1"/>
    <xf numFmtId="0" fontId="21" fillId="0" borderId="0" xfId="0" applyFont="1"/>
    <xf numFmtId="0" fontId="3" fillId="0" borderId="1" xfId="1" applyAlignment="1">
      <alignment horizontal="center"/>
    </xf>
    <xf numFmtId="0" fontId="9" fillId="0" borderId="1" xfId="1" applyFont="1" applyAlignment="1">
      <alignment horizontal="center"/>
    </xf>
    <xf numFmtId="0" fontId="4" fillId="0" borderId="1" xfId="2" applyAlignment="1">
      <alignment horizontal="center"/>
    </xf>
  </cellXfs>
  <cellStyles count="4">
    <cellStyle name="Normal" xfId="0" builtinId="0"/>
    <cellStyle name="Normal 2" xfId="1" xr:uid="{9805E277-1EF9-454A-8908-48080A73F81D}"/>
    <cellStyle name="Normal 3" xfId="2" xr:uid="{0DC3BAF3-3200-8C46-B57E-569A3189A27A}"/>
    <cellStyle name="Normal 4" xfId="3" xr:uid="{D1E5E5F7-A964-944B-AB63-7E66EC5DE5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2777777777774"/>
          <c:y val="4.2226487523992322E-2"/>
          <c:w val="0.8424166666666667"/>
          <c:h val="0.79910348058699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1D'!$B$68</c:f>
              <c:strCache>
                <c:ptCount val="1"/>
                <c:pt idx="0">
                  <c:v>wt_TP53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1D'!$C$71:$N$71</c:f>
                <c:numCache>
                  <c:formatCode>General</c:formatCode>
                  <c:ptCount val="12"/>
                  <c:pt idx="0">
                    <c:v>9.3201274325874408</c:v>
                  </c:pt>
                  <c:pt idx="1">
                    <c:v>30.20114949451618</c:v>
                  </c:pt>
                  <c:pt idx="2">
                    <c:v>6.7792303660852458</c:v>
                  </c:pt>
                  <c:pt idx="3">
                    <c:v>12.327996826509372</c:v>
                  </c:pt>
                  <c:pt idx="4">
                    <c:v>14.072844796045118</c:v>
                  </c:pt>
                  <c:pt idx="5">
                    <c:v>17.433287551878415</c:v>
                  </c:pt>
                  <c:pt idx="6">
                    <c:v>20.49874969619124</c:v>
                  </c:pt>
                  <c:pt idx="7">
                    <c:v>6.1416595719596812</c:v>
                  </c:pt>
                  <c:pt idx="8">
                    <c:v>9.8053682527716362</c:v>
                  </c:pt>
                  <c:pt idx="9">
                    <c:v>11.859435519623966</c:v>
                  </c:pt>
                  <c:pt idx="10">
                    <c:v>24.773615089066869</c:v>
                  </c:pt>
                  <c:pt idx="11">
                    <c:v>9.4196402796341765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'Fig 1D'!$C$66:$N$67</c:f>
              <c:multiLvlStrCache>
                <c:ptCount val="12"/>
                <c:lvl>
                  <c:pt idx="0">
                    <c:v>B1</c:v>
                  </c:pt>
                  <c:pt idx="1">
                    <c:v>H1</c:v>
                  </c:pt>
                  <c:pt idx="2">
                    <c:v>H1.5</c:v>
                  </c:pt>
                  <c:pt idx="3">
                    <c:v>H2</c:v>
                  </c:pt>
                  <c:pt idx="4">
                    <c:v>B1</c:v>
                  </c:pt>
                  <c:pt idx="5">
                    <c:v>H1</c:v>
                  </c:pt>
                  <c:pt idx="6">
                    <c:v>H1.5</c:v>
                  </c:pt>
                  <c:pt idx="7">
                    <c:v>H2</c:v>
                  </c:pt>
                  <c:pt idx="8">
                    <c:v>B1</c:v>
                  </c:pt>
                  <c:pt idx="9">
                    <c:v>H1</c:v>
                  </c:pt>
                  <c:pt idx="10">
                    <c:v>H1.5</c:v>
                  </c:pt>
                  <c:pt idx="11">
                    <c:v>H2</c:v>
                  </c:pt>
                </c:lvl>
                <c:lvl>
                  <c:pt idx="0">
                    <c:v>50 nM</c:v>
                  </c:pt>
                  <c:pt idx="4">
                    <c:v>100 nM</c:v>
                  </c:pt>
                  <c:pt idx="8">
                    <c:v>200 nM</c:v>
                  </c:pt>
                </c:lvl>
              </c:multiLvlStrCache>
            </c:multiLvlStrRef>
          </c:cat>
          <c:val>
            <c:numRef>
              <c:f>'Fig 1D'!$C$68:$N$68</c:f>
              <c:numCache>
                <c:formatCode>General</c:formatCode>
                <c:ptCount val="12"/>
                <c:pt idx="0">
                  <c:v>142.49770790423429</c:v>
                </c:pt>
                <c:pt idx="1">
                  <c:v>73.925824172096355</c:v>
                </c:pt>
                <c:pt idx="2">
                  <c:v>63.073650239298019</c:v>
                </c:pt>
                <c:pt idx="3">
                  <c:v>49.953390652559335</c:v>
                </c:pt>
                <c:pt idx="4">
                  <c:v>160.40868431060699</c:v>
                </c:pt>
                <c:pt idx="5">
                  <c:v>126.59350460964532</c:v>
                </c:pt>
                <c:pt idx="6">
                  <c:v>105.99982678928967</c:v>
                </c:pt>
                <c:pt idx="7">
                  <c:v>96.923740985350662</c:v>
                </c:pt>
                <c:pt idx="8">
                  <c:v>193.22568892265667</c:v>
                </c:pt>
                <c:pt idx="9">
                  <c:v>176.40145970352035</c:v>
                </c:pt>
                <c:pt idx="10">
                  <c:v>151.19965335491963</c:v>
                </c:pt>
                <c:pt idx="11">
                  <c:v>137.76068887328566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A-954F-AB10-F7E7AF370EAE}"/>
            </c:ext>
          </c:extLst>
        </c:ser>
        <c:ser>
          <c:idx val="1"/>
          <c:order val="1"/>
          <c:tx>
            <c:strRef>
              <c:f>'Fig 1D'!$B$69</c:f>
              <c:strCache>
                <c:ptCount val="1"/>
                <c:pt idx="0">
                  <c:v>wt_random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1D'!$C$72:$N$72</c:f>
                <c:numCache>
                  <c:formatCode>General</c:formatCode>
                  <c:ptCount val="12"/>
                  <c:pt idx="0">
                    <c:v>5.346396456087966</c:v>
                  </c:pt>
                  <c:pt idx="1">
                    <c:v>9.7186084994826416</c:v>
                  </c:pt>
                  <c:pt idx="2">
                    <c:v>8.9795940583697327</c:v>
                  </c:pt>
                  <c:pt idx="3">
                    <c:v>15.804788613915106</c:v>
                  </c:pt>
                  <c:pt idx="4">
                    <c:v>3.5162516202662935</c:v>
                  </c:pt>
                  <c:pt idx="5">
                    <c:v>4.773568430435307</c:v>
                  </c:pt>
                  <c:pt idx="6">
                    <c:v>9.1558987619962124</c:v>
                  </c:pt>
                  <c:pt idx="7">
                    <c:v>9.965166782422715</c:v>
                  </c:pt>
                  <c:pt idx="8">
                    <c:v>7.4815512908076327</c:v>
                  </c:pt>
                  <c:pt idx="9">
                    <c:v>14.905378349046165</c:v>
                  </c:pt>
                  <c:pt idx="10">
                    <c:v>3.9941102292727475</c:v>
                  </c:pt>
                  <c:pt idx="11">
                    <c:v>4.9814028350773709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'Fig 1D'!$C$66:$N$67</c:f>
              <c:multiLvlStrCache>
                <c:ptCount val="12"/>
                <c:lvl>
                  <c:pt idx="0">
                    <c:v>B1</c:v>
                  </c:pt>
                  <c:pt idx="1">
                    <c:v>H1</c:v>
                  </c:pt>
                  <c:pt idx="2">
                    <c:v>H1.5</c:v>
                  </c:pt>
                  <c:pt idx="3">
                    <c:v>H2</c:v>
                  </c:pt>
                  <c:pt idx="4">
                    <c:v>B1</c:v>
                  </c:pt>
                  <c:pt idx="5">
                    <c:v>H1</c:v>
                  </c:pt>
                  <c:pt idx="6">
                    <c:v>H1.5</c:v>
                  </c:pt>
                  <c:pt idx="7">
                    <c:v>H2</c:v>
                  </c:pt>
                  <c:pt idx="8">
                    <c:v>B1</c:v>
                  </c:pt>
                  <c:pt idx="9">
                    <c:v>H1</c:v>
                  </c:pt>
                  <c:pt idx="10">
                    <c:v>H1.5</c:v>
                  </c:pt>
                  <c:pt idx="11">
                    <c:v>H2</c:v>
                  </c:pt>
                </c:lvl>
                <c:lvl>
                  <c:pt idx="0">
                    <c:v>50 nM</c:v>
                  </c:pt>
                  <c:pt idx="4">
                    <c:v>100 nM</c:v>
                  </c:pt>
                  <c:pt idx="8">
                    <c:v>200 nM</c:v>
                  </c:pt>
                </c:lvl>
              </c:multiLvlStrCache>
            </c:multiLvlStrRef>
          </c:cat>
          <c:val>
            <c:numRef>
              <c:f>'Fig 1D'!$C$69:$N$69</c:f>
              <c:numCache>
                <c:formatCode>General</c:formatCode>
                <c:ptCount val="12"/>
                <c:pt idx="0">
                  <c:v>97.455820829007692</c:v>
                </c:pt>
                <c:pt idx="1">
                  <c:v>-9.7575292125971345</c:v>
                </c:pt>
                <c:pt idx="2">
                  <c:v>-22.5490075733182</c:v>
                </c:pt>
                <c:pt idx="3">
                  <c:v>-14.166083986843866</c:v>
                </c:pt>
                <c:pt idx="4">
                  <c:v>102.28252583594268</c:v>
                </c:pt>
                <c:pt idx="5">
                  <c:v>-11.912720521958697</c:v>
                </c:pt>
                <c:pt idx="6">
                  <c:v>-10.12201659699263</c:v>
                </c:pt>
                <c:pt idx="7">
                  <c:v>-3.2345639838304336</c:v>
                </c:pt>
                <c:pt idx="8">
                  <c:v>262.45369901306304</c:v>
                </c:pt>
                <c:pt idx="9">
                  <c:v>198.10478473389765</c:v>
                </c:pt>
                <c:pt idx="10">
                  <c:v>63.775999784668016</c:v>
                </c:pt>
                <c:pt idx="11">
                  <c:v>1.951396410144369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A-954F-AB10-F7E7AF370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274224"/>
        <c:axId val="511125824"/>
      </c:barChart>
      <c:catAx>
        <c:axId val="84627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25824"/>
        <c:crosses val="autoZero"/>
        <c:auto val="1"/>
        <c:lblAlgn val="ctr"/>
        <c:lblOffset val="100"/>
        <c:noMultiLvlLbl val="0"/>
      </c:catAx>
      <c:valAx>
        <c:axId val="511125824"/>
        <c:scaling>
          <c:orientation val="minMax"/>
          <c:max val="27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FP, mP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5636042135807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7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B1 + Heparin</a:t>
            </a:r>
          </a:p>
        </c:rich>
      </c:tx>
      <c:layout>
        <c:manualLayout>
          <c:xMode val="edge"/>
          <c:yMode val="edge"/>
          <c:x val="0.24987980769230769"/>
          <c:y val="1.5810276679841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1E'!$C$121</c:f>
              <c:strCache>
                <c:ptCount val="1"/>
                <c:pt idx="0">
                  <c:v>spacer-PAM data points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1E'!$B$122:$B$135</c:f>
              <c:numCache>
                <c:formatCode>General</c:formatCode>
                <c:ptCount val="14"/>
                <c:pt idx="0">
                  <c:v>3.125E-2</c:v>
                </c:pt>
                <c:pt idx="1">
                  <c:v>6.25E-2</c:v>
                </c:pt>
                <c:pt idx="2">
                  <c:v>0.125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9">
                  <c:v>16</c:v>
                </c:pt>
                <c:pt idx="10">
                  <c:v>32</c:v>
                </c:pt>
                <c:pt idx="11">
                  <c:v>64</c:v>
                </c:pt>
                <c:pt idx="12">
                  <c:v>128</c:v>
                </c:pt>
                <c:pt idx="13">
                  <c:v>256</c:v>
                </c:pt>
              </c:numCache>
            </c:numRef>
          </c:xVal>
          <c:yVal>
            <c:numRef>
              <c:f>'Fig 1E'!$C$122:$C$135</c:f>
              <c:numCache>
                <c:formatCode>General</c:formatCode>
                <c:ptCount val="14"/>
                <c:pt idx="0">
                  <c:v>8.3389786179579914</c:v>
                </c:pt>
                <c:pt idx="1">
                  <c:v>0.61228690438467481</c:v>
                </c:pt>
                <c:pt idx="2">
                  <c:v>4.2878184609470082</c:v>
                </c:pt>
                <c:pt idx="3">
                  <c:v>7.80951607789234</c:v>
                </c:pt>
                <c:pt idx="4">
                  <c:v>7.4835127380607247</c:v>
                </c:pt>
                <c:pt idx="5">
                  <c:v>39.293942621318337</c:v>
                </c:pt>
                <c:pt idx="6">
                  <c:v>28.421781271500322</c:v>
                </c:pt>
                <c:pt idx="7">
                  <c:v>34.753080890535017</c:v>
                </c:pt>
                <c:pt idx="8">
                  <c:v>72.858775126171025</c:v>
                </c:pt>
                <c:pt idx="9">
                  <c:v>84.996462635665353</c:v>
                </c:pt>
                <c:pt idx="10">
                  <c:v>109.43793386159868</c:v>
                </c:pt>
                <c:pt idx="11">
                  <c:v>104.92107067628933</c:v>
                </c:pt>
                <c:pt idx="12">
                  <c:v>123.16303469819101</c:v>
                </c:pt>
                <c:pt idx="13">
                  <c:v>140.40256561320666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C7-1148-AB3E-449436848AD5}"/>
            </c:ext>
          </c:extLst>
        </c:ser>
        <c:ser>
          <c:idx val="1"/>
          <c:order val="1"/>
          <c:tx>
            <c:strRef>
              <c:f>'Fig 1E'!$D$121</c:f>
              <c:strCache>
                <c:ptCount val="1"/>
                <c:pt idx="0">
                  <c:v>spacer-PAM fitted curve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'Fig 1E'!$B$122:$B$135</c:f>
              <c:numCache>
                <c:formatCode>General</c:formatCode>
                <c:ptCount val="14"/>
                <c:pt idx="0">
                  <c:v>3.125E-2</c:v>
                </c:pt>
                <c:pt idx="1">
                  <c:v>6.25E-2</c:v>
                </c:pt>
                <c:pt idx="2">
                  <c:v>0.125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9">
                  <c:v>16</c:v>
                </c:pt>
                <c:pt idx="10">
                  <c:v>32</c:v>
                </c:pt>
                <c:pt idx="11">
                  <c:v>64</c:v>
                </c:pt>
                <c:pt idx="12">
                  <c:v>128</c:v>
                </c:pt>
                <c:pt idx="13">
                  <c:v>256</c:v>
                </c:pt>
              </c:numCache>
            </c:numRef>
          </c:xVal>
          <c:yVal>
            <c:numRef>
              <c:f>'Fig 1E'!$D$122:$D$135</c:f>
              <c:numCache>
                <c:formatCode>General</c:formatCode>
                <c:ptCount val="14"/>
                <c:pt idx="0">
                  <c:v>0.52603171538852034</c:v>
                </c:pt>
                <c:pt idx="1">
                  <c:v>1.0481396363223021</c:v>
                </c:pt>
                <c:pt idx="2">
                  <c:v>2.0807467964959989</c:v>
                </c:pt>
                <c:pt idx="3">
                  <c:v>4.1006365620506093</c:v>
                </c:pt>
                <c:pt idx="4">
                  <c:v>7.9675874806072526</c:v>
                </c:pt>
                <c:pt idx="5">
                  <c:v>15.071897088865702</c:v>
                </c:pt>
                <c:pt idx="6">
                  <c:v>27.174561512897238</c:v>
                </c:pt>
                <c:pt idx="7">
                  <c:v>45.314191419797964</c:v>
                </c:pt>
                <c:pt idx="8">
                  <c:v>67.785181510636207</c:v>
                </c:pt>
                <c:pt idx="9">
                  <c:v>89.798568504418768</c:v>
                </c:pt>
                <c:pt idx="10">
                  <c:v>106.92811190841853</c:v>
                </c:pt>
                <c:pt idx="11">
                  <c:v>118.0563106121208</c:v>
                </c:pt>
                <c:pt idx="12">
                  <c:v>124.48132777609543</c:v>
                </c:pt>
                <c:pt idx="13">
                  <c:v>127.94609513410079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C7-1148-AB3E-449436848AD5}"/>
            </c:ext>
          </c:extLst>
        </c:ser>
        <c:ser>
          <c:idx val="2"/>
          <c:order val="2"/>
          <c:tx>
            <c:strRef>
              <c:f>'Fig 1E'!$E$121</c:f>
              <c:strCache>
                <c:ptCount val="1"/>
                <c:pt idx="0">
                  <c:v>random data points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'Fig 1E'!$B$122:$B$135</c:f>
              <c:numCache>
                <c:formatCode>General</c:formatCode>
                <c:ptCount val="14"/>
                <c:pt idx="0">
                  <c:v>3.125E-2</c:v>
                </c:pt>
                <c:pt idx="1">
                  <c:v>6.25E-2</c:v>
                </c:pt>
                <c:pt idx="2">
                  <c:v>0.125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9">
                  <c:v>16</c:v>
                </c:pt>
                <c:pt idx="10">
                  <c:v>32</c:v>
                </c:pt>
                <c:pt idx="11">
                  <c:v>64</c:v>
                </c:pt>
                <c:pt idx="12">
                  <c:v>128</c:v>
                </c:pt>
                <c:pt idx="13">
                  <c:v>256</c:v>
                </c:pt>
              </c:numCache>
            </c:numRef>
          </c:xVal>
          <c:yVal>
            <c:numRef>
              <c:f>'Fig 1E'!$E$122:$E$135</c:f>
              <c:numCache>
                <c:formatCode>General</c:formatCode>
                <c:ptCount val="14"/>
                <c:pt idx="0">
                  <c:v>4.1261073285329743</c:v>
                </c:pt>
                <c:pt idx="1">
                  <c:v>15.927864540585638</c:v>
                </c:pt>
                <c:pt idx="2">
                  <c:v>3.3595993744487274</c:v>
                </c:pt>
                <c:pt idx="3">
                  <c:v>8.0761332751605366</c:v>
                </c:pt>
                <c:pt idx="4">
                  <c:v>7.2170388267375642</c:v>
                </c:pt>
                <c:pt idx="5">
                  <c:v>-4.0300000000000011</c:v>
                </c:pt>
                <c:pt idx="6">
                  <c:v>1.7355499553458245</c:v>
                </c:pt>
                <c:pt idx="7">
                  <c:v>-4.4541676563061685</c:v>
                </c:pt>
                <c:pt idx="8">
                  <c:v>1.6408374137098392</c:v>
                </c:pt>
                <c:pt idx="9">
                  <c:v>-0.6397422898064633</c:v>
                </c:pt>
                <c:pt idx="10">
                  <c:v>-0.26766664364163262</c:v>
                </c:pt>
                <c:pt idx="11">
                  <c:v>-5.2999999999999972</c:v>
                </c:pt>
                <c:pt idx="12">
                  <c:v>2.0968244375175971</c:v>
                </c:pt>
                <c:pt idx="13">
                  <c:v>-4.3500000000000014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C7-1148-AB3E-449436848AD5}"/>
            </c:ext>
          </c:extLst>
        </c:ser>
        <c:ser>
          <c:idx val="3"/>
          <c:order val="3"/>
          <c:tx>
            <c:strRef>
              <c:f>'Fig 1E'!$F$121</c:f>
              <c:strCache>
                <c:ptCount val="1"/>
                <c:pt idx="0">
                  <c:v>random fitted curve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1E'!$B$122:$B$135</c:f>
              <c:numCache>
                <c:formatCode>General</c:formatCode>
                <c:ptCount val="14"/>
                <c:pt idx="0">
                  <c:v>3.125E-2</c:v>
                </c:pt>
                <c:pt idx="1">
                  <c:v>6.25E-2</c:v>
                </c:pt>
                <c:pt idx="2">
                  <c:v>0.125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9">
                  <c:v>16</c:v>
                </c:pt>
                <c:pt idx="10">
                  <c:v>32</c:v>
                </c:pt>
                <c:pt idx="11">
                  <c:v>64</c:v>
                </c:pt>
                <c:pt idx="12">
                  <c:v>128</c:v>
                </c:pt>
                <c:pt idx="13">
                  <c:v>256</c:v>
                </c:pt>
              </c:numCache>
            </c:numRef>
          </c:xVal>
          <c:yVal>
            <c:numRef>
              <c:f>'Fig 1E'!$F$122:$F$135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C7-1148-AB3E-449436848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504272"/>
        <c:axId val="1552927504"/>
      </c:scatterChart>
      <c:valAx>
        <c:axId val="1552504272"/>
        <c:scaling>
          <c:logBase val="100"/>
          <c:orientation val="minMax"/>
          <c:max val="50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52927504"/>
        <c:crosses val="autoZero"/>
        <c:crossBetween val="midCat"/>
      </c:valAx>
      <c:valAx>
        <c:axId val="1552927504"/>
        <c:scaling>
          <c:orientation val="minMax"/>
          <c:max val="18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FP (FITC)</a:t>
                </a:r>
              </a:p>
            </c:rich>
          </c:tx>
          <c:layout>
            <c:manualLayout>
              <c:xMode val="edge"/>
              <c:yMode val="edge"/>
              <c:x val="9.3586552976214765E-3"/>
              <c:y val="0.42142572593445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52504272"/>
        <c:crosses val="autoZero"/>
        <c:crossBetween val="midCat"/>
        <c:majorUnit val="3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B1</a:t>
            </a:r>
          </a:p>
        </c:rich>
      </c:tx>
      <c:layout>
        <c:manualLayout>
          <c:xMode val="edge"/>
          <c:yMode val="edge"/>
          <c:x val="0.36659659139246248"/>
          <c:y val="1.556420233463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1E'!$C$103</c:f>
              <c:strCache>
                <c:ptCount val="1"/>
                <c:pt idx="0">
                  <c:v>spacer-PAM data points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1E'!$B$104:$B$114</c:f>
              <c:numCache>
                <c:formatCode>General</c:formatCode>
                <c:ptCount val="11"/>
                <c:pt idx="0">
                  <c:v>0.21701171875</c:v>
                </c:pt>
                <c:pt idx="1">
                  <c:v>0.4340234375</c:v>
                </c:pt>
                <c:pt idx="2">
                  <c:v>0.868046875</c:v>
                </c:pt>
                <c:pt idx="3">
                  <c:v>1.73609375</c:v>
                </c:pt>
                <c:pt idx="4">
                  <c:v>3.4721875</c:v>
                </c:pt>
                <c:pt idx="5">
                  <c:v>6.944375</c:v>
                </c:pt>
                <c:pt idx="6">
                  <c:v>13.88875</c:v>
                </c:pt>
                <c:pt idx="7">
                  <c:v>27.7775</c:v>
                </c:pt>
                <c:pt idx="8">
                  <c:v>55.555</c:v>
                </c:pt>
                <c:pt idx="9">
                  <c:v>111.11</c:v>
                </c:pt>
                <c:pt idx="10">
                  <c:v>222.22</c:v>
                </c:pt>
              </c:numCache>
            </c:numRef>
          </c:xVal>
          <c:yVal>
            <c:numRef>
              <c:f>'Fig 1E'!$C$104:$C$114</c:f>
              <c:numCache>
                <c:formatCode>General</c:formatCode>
                <c:ptCount val="11"/>
                <c:pt idx="0">
                  <c:v>6.9414197604246652</c:v>
                </c:pt>
                <c:pt idx="1">
                  <c:v>27.487096651708967</c:v>
                </c:pt>
                <c:pt idx="2">
                  <c:v>35.10199818938132</c:v>
                </c:pt>
                <c:pt idx="3">
                  <c:v>38.812861438287982</c:v>
                </c:pt>
                <c:pt idx="4">
                  <c:v>95.837159526350987</c:v>
                </c:pt>
                <c:pt idx="5">
                  <c:v>87.309415141056988</c:v>
                </c:pt>
                <c:pt idx="6">
                  <c:v>126.47716468009865</c:v>
                </c:pt>
                <c:pt idx="7">
                  <c:v>144.50047110103668</c:v>
                </c:pt>
                <c:pt idx="8">
                  <c:v>138.09014456824167</c:v>
                </c:pt>
                <c:pt idx="9">
                  <c:v>159.3732905667693</c:v>
                </c:pt>
                <c:pt idx="10">
                  <c:v>168.195488851292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9-C740-9D74-FDC90B895196}"/>
            </c:ext>
          </c:extLst>
        </c:ser>
        <c:ser>
          <c:idx val="1"/>
          <c:order val="1"/>
          <c:tx>
            <c:strRef>
              <c:f>'Fig 1E'!$D$103</c:f>
              <c:strCache>
                <c:ptCount val="1"/>
                <c:pt idx="0">
                  <c:v>spacer-PAM fitted curve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'Fig 1E'!$B$104:$B$114</c:f>
              <c:numCache>
                <c:formatCode>General</c:formatCode>
                <c:ptCount val="11"/>
                <c:pt idx="0">
                  <c:v>0.21701171875</c:v>
                </c:pt>
                <c:pt idx="1">
                  <c:v>0.4340234375</c:v>
                </c:pt>
                <c:pt idx="2">
                  <c:v>0.868046875</c:v>
                </c:pt>
                <c:pt idx="3">
                  <c:v>1.73609375</c:v>
                </c:pt>
                <c:pt idx="4">
                  <c:v>3.4721875</c:v>
                </c:pt>
                <c:pt idx="5">
                  <c:v>6.944375</c:v>
                </c:pt>
                <c:pt idx="6">
                  <c:v>13.88875</c:v>
                </c:pt>
                <c:pt idx="7">
                  <c:v>27.7775</c:v>
                </c:pt>
                <c:pt idx="8">
                  <c:v>55.555</c:v>
                </c:pt>
                <c:pt idx="9">
                  <c:v>111.11</c:v>
                </c:pt>
                <c:pt idx="10">
                  <c:v>222.22</c:v>
                </c:pt>
              </c:numCache>
            </c:numRef>
          </c:xVal>
          <c:yVal>
            <c:numRef>
              <c:f>'Fig 1E'!$D$104:$D$114</c:f>
              <c:numCache>
                <c:formatCode>General</c:formatCode>
                <c:ptCount val="11"/>
                <c:pt idx="0">
                  <c:v>8.2270265024451525</c:v>
                </c:pt>
                <c:pt idx="1">
                  <c:v>15.734730960126223</c:v>
                </c:pt>
                <c:pt idx="2">
                  <c:v>28.904707310535567</c:v>
                </c:pt>
                <c:pt idx="3">
                  <c:v>49.55051451761377</c:v>
                </c:pt>
                <c:pt idx="4">
                  <c:v>76.608329175701357</c:v>
                </c:pt>
                <c:pt idx="5">
                  <c:v>104.57603914969323</c:v>
                </c:pt>
                <c:pt idx="6">
                  <c:v>127.17022524364056</c:v>
                </c:pt>
                <c:pt idx="7">
                  <c:v>142.14445980148707</c:v>
                </c:pt>
                <c:pt idx="8">
                  <c:v>150.86789256101468</c:v>
                </c:pt>
                <c:pt idx="9">
                  <c:v>155.59005840273375</c:v>
                </c:pt>
                <c:pt idx="10">
                  <c:v>158.04852750666561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A9-C740-9D74-FDC90B895196}"/>
            </c:ext>
          </c:extLst>
        </c:ser>
        <c:ser>
          <c:idx val="2"/>
          <c:order val="2"/>
          <c:tx>
            <c:strRef>
              <c:f>'Fig 1E'!$E$103</c:f>
              <c:strCache>
                <c:ptCount val="1"/>
                <c:pt idx="0">
                  <c:v>random data points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'Fig 1E'!$B$104:$B$114</c:f>
              <c:numCache>
                <c:formatCode>General</c:formatCode>
                <c:ptCount val="11"/>
                <c:pt idx="0">
                  <c:v>0.21701171875</c:v>
                </c:pt>
                <c:pt idx="1">
                  <c:v>0.4340234375</c:v>
                </c:pt>
                <c:pt idx="2">
                  <c:v>0.868046875</c:v>
                </c:pt>
                <c:pt idx="3">
                  <c:v>1.73609375</c:v>
                </c:pt>
                <c:pt idx="4">
                  <c:v>3.4721875</c:v>
                </c:pt>
                <c:pt idx="5">
                  <c:v>6.944375</c:v>
                </c:pt>
                <c:pt idx="6">
                  <c:v>13.88875</c:v>
                </c:pt>
                <c:pt idx="7">
                  <c:v>27.7775</c:v>
                </c:pt>
                <c:pt idx="8">
                  <c:v>55.555</c:v>
                </c:pt>
                <c:pt idx="9">
                  <c:v>111.11</c:v>
                </c:pt>
                <c:pt idx="10">
                  <c:v>222.22</c:v>
                </c:pt>
              </c:numCache>
            </c:numRef>
          </c:xVal>
          <c:yVal>
            <c:numRef>
              <c:f>'Fig 1E'!$E$104:$E$114</c:f>
              <c:numCache>
                <c:formatCode>General</c:formatCode>
                <c:ptCount val="11"/>
                <c:pt idx="0">
                  <c:v>17.768579371473407</c:v>
                </c:pt>
                <c:pt idx="1">
                  <c:v>15.843385938367859</c:v>
                </c:pt>
                <c:pt idx="2">
                  <c:v>12.538632385967226</c:v>
                </c:pt>
                <c:pt idx="3">
                  <c:v>9.2509601402587691</c:v>
                </c:pt>
                <c:pt idx="4">
                  <c:v>8.2036509780175919</c:v>
                </c:pt>
                <c:pt idx="5">
                  <c:v>17.66086910588016</c:v>
                </c:pt>
                <c:pt idx="6">
                  <c:v>21.887498133709492</c:v>
                </c:pt>
                <c:pt idx="7">
                  <c:v>54.721698236024459</c:v>
                </c:pt>
                <c:pt idx="8">
                  <c:v>84.507007334108323</c:v>
                </c:pt>
                <c:pt idx="9">
                  <c:v>115.34509677788</c:v>
                </c:pt>
                <c:pt idx="10">
                  <c:v>151.60800369133267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A9-C740-9D74-FDC90B895196}"/>
            </c:ext>
          </c:extLst>
        </c:ser>
        <c:ser>
          <c:idx val="3"/>
          <c:order val="3"/>
          <c:tx>
            <c:strRef>
              <c:f>'Fig 1E'!$F$103</c:f>
              <c:strCache>
                <c:ptCount val="1"/>
                <c:pt idx="0">
                  <c:v>random fitted curve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1E'!$B$104:$B$114</c:f>
              <c:numCache>
                <c:formatCode>General</c:formatCode>
                <c:ptCount val="11"/>
                <c:pt idx="0">
                  <c:v>0.21701171875</c:v>
                </c:pt>
                <c:pt idx="1">
                  <c:v>0.4340234375</c:v>
                </c:pt>
                <c:pt idx="2">
                  <c:v>0.868046875</c:v>
                </c:pt>
                <c:pt idx="3">
                  <c:v>1.73609375</c:v>
                </c:pt>
                <c:pt idx="4">
                  <c:v>3.4721875</c:v>
                </c:pt>
                <c:pt idx="5">
                  <c:v>6.944375</c:v>
                </c:pt>
                <c:pt idx="6">
                  <c:v>13.88875</c:v>
                </c:pt>
                <c:pt idx="7">
                  <c:v>27.7775</c:v>
                </c:pt>
                <c:pt idx="8">
                  <c:v>55.555</c:v>
                </c:pt>
                <c:pt idx="9">
                  <c:v>111.11</c:v>
                </c:pt>
                <c:pt idx="10">
                  <c:v>222.22</c:v>
                </c:pt>
              </c:numCache>
            </c:numRef>
          </c:xVal>
          <c:yVal>
            <c:numRef>
              <c:f>'Fig 1E'!$F$104:$F$114</c:f>
              <c:numCache>
                <c:formatCode>General</c:formatCode>
                <c:ptCount val="11"/>
                <c:pt idx="0">
                  <c:v>0.5373425169777134</c:v>
                </c:pt>
                <c:pt idx="1">
                  <c:v>1.0719117811117211</c:v>
                </c:pt>
                <c:pt idx="2">
                  <c:v>2.1328154811045614</c:v>
                </c:pt>
                <c:pt idx="3">
                  <c:v>4.2222661351234816</c:v>
                </c:pt>
                <c:pt idx="4">
                  <c:v>8.2762288446757264</c:v>
                </c:pt>
                <c:pt idx="5">
                  <c:v>15.917753746897166</c:v>
                </c:pt>
                <c:pt idx="6">
                  <c:v>29.56673559530665</c:v>
                </c:pt>
                <c:pt idx="7">
                  <c:v>51.750776933677265</c:v>
                </c:pt>
                <c:pt idx="8">
                  <c:v>82.802104832214582</c:v>
                </c:pt>
                <c:pt idx="9">
                  <c:v>118.25076520986647</c:v>
                </c:pt>
                <c:pt idx="10">
                  <c:v>150.4108079772609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A9-C740-9D74-FDC90B89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710544"/>
        <c:axId val="1015806912"/>
      </c:scatterChart>
      <c:valAx>
        <c:axId val="1015710544"/>
        <c:scaling>
          <c:logBase val="100"/>
          <c:orientation val="minMax"/>
          <c:max val="500"/>
          <c:min val="0.1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015806912"/>
        <c:crosses val="autoZero"/>
        <c:crossBetween val="midCat"/>
      </c:valAx>
      <c:valAx>
        <c:axId val="1015806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FP (FITC)</a:t>
                </a:r>
              </a:p>
            </c:rich>
          </c:tx>
          <c:layout>
            <c:manualLayout>
              <c:xMode val="edge"/>
              <c:yMode val="edge"/>
              <c:x val="1.2004801920768308E-2"/>
              <c:y val="0.41535341156285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015710544"/>
        <c:crosses val="autoZero"/>
        <c:crossBetween val="midCat"/>
        <c:majorUnit val="3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807895982437151E-2"/>
          <c:y val="4.3839265232575621E-2"/>
          <c:w val="0.64847355373013282"/>
          <c:h val="0.882006162601937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 5'!$J$39</c:f>
              <c:strCache>
                <c:ptCount val="1"/>
                <c:pt idx="0">
                  <c:v>TTTC_spacer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5'!$P$40:$P$55</c:f>
                <c:numCache>
                  <c:formatCode>General</c:formatCode>
                  <c:ptCount val="16"/>
                  <c:pt idx="0">
                    <c:v>379.3801962851162</c:v>
                  </c:pt>
                  <c:pt idx="1">
                    <c:v>640.90586932351721</c:v>
                  </c:pt>
                  <c:pt idx="2">
                    <c:v>1109.89924467644</c:v>
                  </c:pt>
                  <c:pt idx="3">
                    <c:v>802.33679545022278</c:v>
                  </c:pt>
                  <c:pt idx="4">
                    <c:v>1750.9312760166611</c:v>
                  </c:pt>
                  <c:pt idx="5">
                    <c:v>1812.9073335391415</c:v>
                  </c:pt>
                  <c:pt idx="6">
                    <c:v>492.8552864009211</c:v>
                  </c:pt>
                  <c:pt idx="7">
                    <c:v>602.5246882908616</c:v>
                  </c:pt>
                  <c:pt idx="8">
                    <c:v>588.65722906741928</c:v>
                  </c:pt>
                  <c:pt idx="9">
                    <c:v>396.71442289552988</c:v>
                  </c:pt>
                  <c:pt idx="10">
                    <c:v>476.41893329295806</c:v>
                  </c:pt>
                  <c:pt idx="11">
                    <c:v>749.54141535563826</c:v>
                  </c:pt>
                  <c:pt idx="12">
                    <c:v>337.33810932060436</c:v>
                  </c:pt>
                  <c:pt idx="13">
                    <c:v>323.03714956642369</c:v>
                  </c:pt>
                  <c:pt idx="14">
                    <c:v>302.14290217268604</c:v>
                  </c:pt>
                  <c:pt idx="15">
                    <c:v>254.5014734731412</c:v>
                  </c:pt>
                </c:numCache>
              </c:numRef>
            </c:plus>
            <c:minus>
              <c:numRef>
                <c:f>'Fig 5'!$P$40:$P$55</c:f>
                <c:numCache>
                  <c:formatCode>General</c:formatCode>
                  <c:ptCount val="16"/>
                  <c:pt idx="0">
                    <c:v>379.3801962851162</c:v>
                  </c:pt>
                  <c:pt idx="1">
                    <c:v>640.90586932351721</c:v>
                  </c:pt>
                  <c:pt idx="2">
                    <c:v>1109.89924467644</c:v>
                  </c:pt>
                  <c:pt idx="3">
                    <c:v>802.33679545022278</c:v>
                  </c:pt>
                  <c:pt idx="4">
                    <c:v>1750.9312760166611</c:v>
                  </c:pt>
                  <c:pt idx="5">
                    <c:v>1812.9073335391415</c:v>
                  </c:pt>
                  <c:pt idx="6">
                    <c:v>492.8552864009211</c:v>
                  </c:pt>
                  <c:pt idx="7">
                    <c:v>602.5246882908616</c:v>
                  </c:pt>
                  <c:pt idx="8">
                    <c:v>588.65722906741928</c:v>
                  </c:pt>
                  <c:pt idx="9">
                    <c:v>396.71442289552988</c:v>
                  </c:pt>
                  <c:pt idx="10">
                    <c:v>476.41893329295806</c:v>
                  </c:pt>
                  <c:pt idx="11">
                    <c:v>749.54141535563826</c:v>
                  </c:pt>
                  <c:pt idx="12">
                    <c:v>337.33810932060436</c:v>
                  </c:pt>
                  <c:pt idx="13">
                    <c:v>323.03714956642369</c:v>
                  </c:pt>
                  <c:pt idx="14">
                    <c:v>302.14290217268604</c:v>
                  </c:pt>
                  <c:pt idx="15">
                    <c:v>254.5014734731412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5'!$I$40:$I$55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105</c:v>
                </c:pt>
                <c:pt idx="11">
                  <c:v>120</c:v>
                </c:pt>
                <c:pt idx="12">
                  <c:v>135</c:v>
                </c:pt>
                <c:pt idx="13">
                  <c:v>150</c:v>
                </c:pt>
                <c:pt idx="14">
                  <c:v>165</c:v>
                </c:pt>
                <c:pt idx="15">
                  <c:v>180</c:v>
                </c:pt>
              </c:numCache>
            </c:numRef>
          </c:xVal>
          <c:yVal>
            <c:numRef>
              <c:f>'Fig 5'!$J$40:$J$55</c:f>
              <c:numCache>
                <c:formatCode>General</c:formatCode>
                <c:ptCount val="16"/>
                <c:pt idx="0">
                  <c:v>2890.3333333333321</c:v>
                </c:pt>
                <c:pt idx="1">
                  <c:v>4262.3333333333321</c:v>
                </c:pt>
                <c:pt idx="2">
                  <c:v>6464</c:v>
                </c:pt>
                <c:pt idx="3">
                  <c:v>8306.9542857142842</c:v>
                </c:pt>
                <c:pt idx="4">
                  <c:v>9905.6683333333312</c:v>
                </c:pt>
                <c:pt idx="5">
                  <c:v>11432.52</c:v>
                </c:pt>
                <c:pt idx="6">
                  <c:v>12578.393554112556</c:v>
                </c:pt>
                <c:pt idx="7">
                  <c:v>13787.772320175438</c:v>
                </c:pt>
                <c:pt idx="8">
                  <c:v>14684.870715555557</c:v>
                </c:pt>
                <c:pt idx="9">
                  <c:v>15349.068493150684</c:v>
                </c:pt>
                <c:pt idx="10">
                  <c:v>16490.648560185182</c:v>
                </c:pt>
                <c:pt idx="11">
                  <c:v>16785.666242857144</c:v>
                </c:pt>
                <c:pt idx="12">
                  <c:v>17579.357917874397</c:v>
                </c:pt>
                <c:pt idx="13">
                  <c:v>18397.701416666663</c:v>
                </c:pt>
                <c:pt idx="14">
                  <c:v>18732.154671641787</c:v>
                </c:pt>
                <c:pt idx="15">
                  <c:v>19168.438944444446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D-304D-804C-8FA19D90F6C1}"/>
            </c:ext>
          </c:extLst>
        </c:ser>
        <c:ser>
          <c:idx val="1"/>
          <c:order val="1"/>
          <c:tx>
            <c:strRef>
              <c:f>'Fig 5'!$K$39</c:f>
              <c:strCache>
                <c:ptCount val="1"/>
                <c:pt idx="0">
                  <c:v>TTTmC_spacer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5'!$Q$40:$Q$55</c:f>
                <c:numCache>
                  <c:formatCode>General</c:formatCode>
                  <c:ptCount val="16"/>
                  <c:pt idx="0">
                    <c:v>1429.1161604292354</c:v>
                  </c:pt>
                  <c:pt idx="1">
                    <c:v>1378.853146640352</c:v>
                  </c:pt>
                  <c:pt idx="2">
                    <c:v>1690.1142959378026</c:v>
                  </c:pt>
                  <c:pt idx="3">
                    <c:v>1825.1603582516614</c:v>
                  </c:pt>
                  <c:pt idx="4">
                    <c:v>2539.9253926050665</c:v>
                  </c:pt>
                  <c:pt idx="5">
                    <c:v>2833.2886074901244</c:v>
                  </c:pt>
                  <c:pt idx="6">
                    <c:v>992.03175352404924</c:v>
                  </c:pt>
                  <c:pt idx="7">
                    <c:v>1224.9393182249216</c:v>
                  </c:pt>
                  <c:pt idx="8">
                    <c:v>1205.0868571739284</c:v>
                  </c:pt>
                  <c:pt idx="9">
                    <c:v>1057.1666535288255</c:v>
                  </c:pt>
                  <c:pt idx="10">
                    <c:v>1205.8923390308642</c:v>
                  </c:pt>
                  <c:pt idx="11">
                    <c:v>1390.93110301457</c:v>
                  </c:pt>
                  <c:pt idx="12">
                    <c:v>992.34016345202917</c:v>
                  </c:pt>
                  <c:pt idx="13">
                    <c:v>1070.0510891230069</c:v>
                  </c:pt>
                  <c:pt idx="14">
                    <c:v>960.11735393822221</c:v>
                  </c:pt>
                  <c:pt idx="15">
                    <c:v>1012.9591962825222</c:v>
                  </c:pt>
                </c:numCache>
              </c:numRef>
            </c:plus>
            <c:minus>
              <c:numRef>
                <c:f>'Fig 5'!$Q$40:$Q$55</c:f>
                <c:numCache>
                  <c:formatCode>General</c:formatCode>
                  <c:ptCount val="16"/>
                  <c:pt idx="0">
                    <c:v>1429.1161604292354</c:v>
                  </c:pt>
                  <c:pt idx="1">
                    <c:v>1378.853146640352</c:v>
                  </c:pt>
                  <c:pt idx="2">
                    <c:v>1690.1142959378026</c:v>
                  </c:pt>
                  <c:pt idx="3">
                    <c:v>1825.1603582516614</c:v>
                  </c:pt>
                  <c:pt idx="4">
                    <c:v>2539.9253926050665</c:v>
                  </c:pt>
                  <c:pt idx="5">
                    <c:v>2833.2886074901244</c:v>
                  </c:pt>
                  <c:pt idx="6">
                    <c:v>992.03175352404924</c:v>
                  </c:pt>
                  <c:pt idx="7">
                    <c:v>1224.9393182249216</c:v>
                  </c:pt>
                  <c:pt idx="8">
                    <c:v>1205.0868571739284</c:v>
                  </c:pt>
                  <c:pt idx="9">
                    <c:v>1057.1666535288255</c:v>
                  </c:pt>
                  <c:pt idx="10">
                    <c:v>1205.8923390308642</c:v>
                  </c:pt>
                  <c:pt idx="11">
                    <c:v>1390.93110301457</c:v>
                  </c:pt>
                  <c:pt idx="12">
                    <c:v>992.34016345202917</c:v>
                  </c:pt>
                  <c:pt idx="13">
                    <c:v>1070.0510891230069</c:v>
                  </c:pt>
                  <c:pt idx="14">
                    <c:v>960.11735393822221</c:v>
                  </c:pt>
                  <c:pt idx="15">
                    <c:v>1012.9591962825222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5'!$I$40:$I$55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105</c:v>
                </c:pt>
                <c:pt idx="11">
                  <c:v>120</c:v>
                </c:pt>
                <c:pt idx="12">
                  <c:v>135</c:v>
                </c:pt>
                <c:pt idx="13">
                  <c:v>150</c:v>
                </c:pt>
                <c:pt idx="14">
                  <c:v>165</c:v>
                </c:pt>
                <c:pt idx="15">
                  <c:v>180</c:v>
                </c:pt>
              </c:numCache>
            </c:numRef>
          </c:xVal>
          <c:yVal>
            <c:numRef>
              <c:f>'Fig 5'!$K$40:$K$55</c:f>
              <c:numCache>
                <c:formatCode>General</c:formatCode>
                <c:ptCount val="16"/>
                <c:pt idx="0">
                  <c:v>3575.6666666666679</c:v>
                </c:pt>
                <c:pt idx="1">
                  <c:v>4973.6666666666679</c:v>
                </c:pt>
                <c:pt idx="2">
                  <c:v>7194</c:v>
                </c:pt>
                <c:pt idx="3">
                  <c:v>8957.8114285714273</c:v>
                </c:pt>
                <c:pt idx="4">
                  <c:v>10686.001666666667</c:v>
                </c:pt>
                <c:pt idx="5">
                  <c:v>12354.149629629628</c:v>
                </c:pt>
                <c:pt idx="6">
                  <c:v>13705.726887445888</c:v>
                </c:pt>
                <c:pt idx="7">
                  <c:v>15169.224074561404</c:v>
                </c:pt>
                <c:pt idx="8">
                  <c:v>16209.341826666667</c:v>
                </c:pt>
                <c:pt idx="9">
                  <c:v>17119.315068493153</c:v>
                </c:pt>
                <c:pt idx="10">
                  <c:v>18581.736523148145</c:v>
                </c:pt>
                <c:pt idx="11">
                  <c:v>18969.556719047621</c:v>
                </c:pt>
                <c:pt idx="12">
                  <c:v>19924.314439613525</c:v>
                </c:pt>
                <c:pt idx="13">
                  <c:v>21055.049455882352</c:v>
                </c:pt>
                <c:pt idx="14">
                  <c:v>21364.075069651743</c:v>
                </c:pt>
                <c:pt idx="15">
                  <c:v>22047.903590909093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0D-304D-804C-8FA19D90F6C1}"/>
            </c:ext>
          </c:extLst>
        </c:ser>
        <c:ser>
          <c:idx val="2"/>
          <c:order val="2"/>
          <c:tx>
            <c:strRef>
              <c:f>'Fig 5'!$L$39</c:f>
              <c:strCache>
                <c:ptCount val="1"/>
                <c:pt idx="0">
                  <c:v>TTThmC_spacer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5'!$R$40:$R$55</c:f>
                <c:numCache>
                  <c:formatCode>General</c:formatCode>
                  <c:ptCount val="16"/>
                  <c:pt idx="0">
                    <c:v>1927.8242485593255</c:v>
                  </c:pt>
                  <c:pt idx="1">
                    <c:v>1863.4688084322743</c:v>
                  </c:pt>
                  <c:pt idx="2">
                    <c:v>1767.5698006019452</c:v>
                  </c:pt>
                  <c:pt idx="3">
                    <c:v>2007.7220923225407</c:v>
                  </c:pt>
                  <c:pt idx="4">
                    <c:v>2254.6412131423481</c:v>
                  </c:pt>
                  <c:pt idx="5">
                    <c:v>2489.8428330586121</c:v>
                  </c:pt>
                  <c:pt idx="6">
                    <c:v>983.2334412539069</c:v>
                  </c:pt>
                  <c:pt idx="7">
                    <c:v>1076.2532229916899</c:v>
                  </c:pt>
                  <c:pt idx="8">
                    <c:v>966.67678155627596</c:v>
                  </c:pt>
                  <c:pt idx="9">
                    <c:v>947.97802365526161</c:v>
                  </c:pt>
                  <c:pt idx="10">
                    <c:v>992.05308997720897</c:v>
                  </c:pt>
                  <c:pt idx="11">
                    <c:v>1202.381525695288</c:v>
                  </c:pt>
                  <c:pt idx="12">
                    <c:v>874.61096113262454</c:v>
                  </c:pt>
                  <c:pt idx="13">
                    <c:v>970.2226548581516</c:v>
                  </c:pt>
                  <c:pt idx="14">
                    <c:v>930.92928481884871</c:v>
                  </c:pt>
                  <c:pt idx="15">
                    <c:v>961.54164409729719</c:v>
                  </c:pt>
                </c:numCache>
              </c:numRef>
            </c:plus>
            <c:minus>
              <c:numRef>
                <c:f>'Fig 5'!$R$40:$R$55</c:f>
                <c:numCache>
                  <c:formatCode>General</c:formatCode>
                  <c:ptCount val="16"/>
                  <c:pt idx="0">
                    <c:v>1927.8242485593255</c:v>
                  </c:pt>
                  <c:pt idx="1">
                    <c:v>1863.4688084322743</c:v>
                  </c:pt>
                  <c:pt idx="2">
                    <c:v>1767.5698006019452</c:v>
                  </c:pt>
                  <c:pt idx="3">
                    <c:v>2007.7220923225407</c:v>
                  </c:pt>
                  <c:pt idx="4">
                    <c:v>2254.6412131423481</c:v>
                  </c:pt>
                  <c:pt idx="5">
                    <c:v>2489.8428330586121</c:v>
                  </c:pt>
                  <c:pt idx="6">
                    <c:v>983.2334412539069</c:v>
                  </c:pt>
                  <c:pt idx="7">
                    <c:v>1076.2532229916899</c:v>
                  </c:pt>
                  <c:pt idx="8">
                    <c:v>966.67678155627596</c:v>
                  </c:pt>
                  <c:pt idx="9">
                    <c:v>947.97802365526161</c:v>
                  </c:pt>
                  <c:pt idx="10">
                    <c:v>992.05308997720897</c:v>
                  </c:pt>
                  <c:pt idx="11">
                    <c:v>1202.381525695288</c:v>
                  </c:pt>
                  <c:pt idx="12">
                    <c:v>874.61096113262454</c:v>
                  </c:pt>
                  <c:pt idx="13">
                    <c:v>970.2226548581516</c:v>
                  </c:pt>
                  <c:pt idx="14">
                    <c:v>930.92928481884871</c:v>
                  </c:pt>
                  <c:pt idx="15">
                    <c:v>961.54164409729719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5'!$I$40:$I$55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105</c:v>
                </c:pt>
                <c:pt idx="11">
                  <c:v>120</c:v>
                </c:pt>
                <c:pt idx="12">
                  <c:v>135</c:v>
                </c:pt>
                <c:pt idx="13">
                  <c:v>150</c:v>
                </c:pt>
                <c:pt idx="14">
                  <c:v>165</c:v>
                </c:pt>
                <c:pt idx="15">
                  <c:v>180</c:v>
                </c:pt>
              </c:numCache>
            </c:numRef>
          </c:xVal>
          <c:yVal>
            <c:numRef>
              <c:f>'Fig 5'!$L$40:$L$55</c:f>
              <c:numCache>
                <c:formatCode>General</c:formatCode>
                <c:ptCount val="16"/>
                <c:pt idx="0">
                  <c:v>2057.3333333333321</c:v>
                </c:pt>
                <c:pt idx="1">
                  <c:v>3565.6666666666679</c:v>
                </c:pt>
                <c:pt idx="2">
                  <c:v>5779.6666666666679</c:v>
                </c:pt>
                <c:pt idx="3">
                  <c:v>8174.5733333333319</c:v>
                </c:pt>
                <c:pt idx="4">
                  <c:v>10120.001666666667</c:v>
                </c:pt>
                <c:pt idx="5">
                  <c:v>11822.001481481482</c:v>
                </c:pt>
                <c:pt idx="6">
                  <c:v>13326.610004329004</c:v>
                </c:pt>
                <c:pt idx="7">
                  <c:v>14888.561793859648</c:v>
                </c:pt>
                <c:pt idx="8">
                  <c:v>16117.572937777777</c:v>
                </c:pt>
                <c:pt idx="9">
                  <c:v>17197.748858447492</c:v>
                </c:pt>
                <c:pt idx="10">
                  <c:v>18692.574486111112</c:v>
                </c:pt>
                <c:pt idx="11">
                  <c:v>19273.851957142855</c:v>
                </c:pt>
                <c:pt idx="12">
                  <c:v>20313.420719806763</c:v>
                </c:pt>
                <c:pt idx="13">
                  <c:v>21561.127887254901</c:v>
                </c:pt>
                <c:pt idx="14">
                  <c:v>21875.050194029849</c:v>
                </c:pt>
                <c:pt idx="15">
                  <c:v>22676.297530303033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0D-304D-804C-8FA19D90F6C1}"/>
            </c:ext>
          </c:extLst>
        </c:ser>
        <c:ser>
          <c:idx val="3"/>
          <c:order val="3"/>
          <c:tx>
            <c:strRef>
              <c:f>'Fig 5'!$M$39</c:f>
              <c:strCache>
                <c:ptCount val="1"/>
                <c:pt idx="0">
                  <c:v>NO PAM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5'!$S$40:$S$55</c:f>
                <c:numCache>
                  <c:formatCode>General</c:formatCode>
                  <c:ptCount val="16"/>
                  <c:pt idx="0">
                    <c:v>998.03523651889952</c:v>
                  </c:pt>
                  <c:pt idx="1">
                    <c:v>843.69978862942241</c:v>
                  </c:pt>
                  <c:pt idx="2">
                    <c:v>764.63782276316931</c:v>
                  </c:pt>
                  <c:pt idx="3">
                    <c:v>877.61627909544472</c:v>
                  </c:pt>
                  <c:pt idx="4">
                    <c:v>1071.7879143437535</c:v>
                  </c:pt>
                  <c:pt idx="5">
                    <c:v>1245.6959233028472</c:v>
                  </c:pt>
                  <c:pt idx="6">
                    <c:v>343.52486566962438</c:v>
                  </c:pt>
                  <c:pt idx="7">
                    <c:v>689.75237102407516</c:v>
                  </c:pt>
                  <c:pt idx="8">
                    <c:v>796.55696594782216</c:v>
                  </c:pt>
                  <c:pt idx="9">
                    <c:v>476.56304234941786</c:v>
                  </c:pt>
                  <c:pt idx="10">
                    <c:v>358.04655190817567</c:v>
                  </c:pt>
                  <c:pt idx="11">
                    <c:v>287.77074208473664</c:v>
                  </c:pt>
                  <c:pt idx="12">
                    <c:v>323.86571291200306</c:v>
                  </c:pt>
                  <c:pt idx="13">
                    <c:v>311.39524723412205</c:v>
                  </c:pt>
                  <c:pt idx="14">
                    <c:v>360.60920675989405</c:v>
                  </c:pt>
                  <c:pt idx="15">
                    <c:v>373.54294710693438</c:v>
                  </c:pt>
                </c:numCache>
              </c:numRef>
            </c:plus>
            <c:minus>
              <c:numRef>
                <c:f>'Fig 5'!$S$40:$S$55</c:f>
                <c:numCache>
                  <c:formatCode>General</c:formatCode>
                  <c:ptCount val="16"/>
                  <c:pt idx="0">
                    <c:v>998.03523651889952</c:v>
                  </c:pt>
                  <c:pt idx="1">
                    <c:v>843.69978862942241</c:v>
                  </c:pt>
                  <c:pt idx="2">
                    <c:v>764.63782276316931</c:v>
                  </c:pt>
                  <c:pt idx="3">
                    <c:v>877.61627909544472</c:v>
                  </c:pt>
                  <c:pt idx="4">
                    <c:v>1071.7879143437535</c:v>
                  </c:pt>
                  <c:pt idx="5">
                    <c:v>1245.6959233028472</c:v>
                  </c:pt>
                  <c:pt idx="6">
                    <c:v>343.52486566962438</c:v>
                  </c:pt>
                  <c:pt idx="7">
                    <c:v>689.75237102407516</c:v>
                  </c:pt>
                  <c:pt idx="8">
                    <c:v>796.55696594782216</c:v>
                  </c:pt>
                  <c:pt idx="9">
                    <c:v>476.56304234941786</c:v>
                  </c:pt>
                  <c:pt idx="10">
                    <c:v>358.04655190817567</c:v>
                  </c:pt>
                  <c:pt idx="11">
                    <c:v>287.77074208473664</c:v>
                  </c:pt>
                  <c:pt idx="12">
                    <c:v>323.86571291200306</c:v>
                  </c:pt>
                  <c:pt idx="13">
                    <c:v>311.39524723412205</c:v>
                  </c:pt>
                  <c:pt idx="14">
                    <c:v>360.60920675989405</c:v>
                  </c:pt>
                  <c:pt idx="15">
                    <c:v>373.54294710693438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5'!$I$40:$I$55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105</c:v>
                </c:pt>
                <c:pt idx="11">
                  <c:v>120</c:v>
                </c:pt>
                <c:pt idx="12">
                  <c:v>135</c:v>
                </c:pt>
                <c:pt idx="13">
                  <c:v>150</c:v>
                </c:pt>
                <c:pt idx="14">
                  <c:v>165</c:v>
                </c:pt>
                <c:pt idx="15">
                  <c:v>180</c:v>
                </c:pt>
              </c:numCache>
            </c:numRef>
          </c:xVal>
          <c:yVal>
            <c:numRef>
              <c:f>'Fig 5'!$M$40:$M$55</c:f>
              <c:numCache>
                <c:formatCode>General</c:formatCode>
                <c:ptCount val="16"/>
                <c:pt idx="0">
                  <c:v>3731.3333333333321</c:v>
                </c:pt>
                <c:pt idx="1">
                  <c:v>5349.3333333333321</c:v>
                </c:pt>
                <c:pt idx="2">
                  <c:v>7233.6666666666679</c:v>
                </c:pt>
                <c:pt idx="3">
                  <c:v>8466.763809523809</c:v>
                </c:pt>
                <c:pt idx="4">
                  <c:v>9365.501666666667</c:v>
                </c:pt>
                <c:pt idx="5">
                  <c:v>10063.48296296296</c:v>
                </c:pt>
                <c:pt idx="6">
                  <c:v>10564.142471861473</c:v>
                </c:pt>
                <c:pt idx="7">
                  <c:v>11087.715302631579</c:v>
                </c:pt>
                <c:pt idx="8">
                  <c:v>11397.012937777778</c:v>
                </c:pt>
                <c:pt idx="9">
                  <c:v>11502.561643835616</c:v>
                </c:pt>
                <c:pt idx="10">
                  <c:v>11835.042078703704</c:v>
                </c:pt>
                <c:pt idx="11">
                  <c:v>11772.423385714286</c:v>
                </c:pt>
                <c:pt idx="12">
                  <c:v>11981.816855072464</c:v>
                </c:pt>
                <c:pt idx="13">
                  <c:v>12196.93180882353</c:v>
                </c:pt>
                <c:pt idx="14">
                  <c:v>12126.229298507464</c:v>
                </c:pt>
                <c:pt idx="15">
                  <c:v>12282.625813131313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0D-304D-804C-8FA19D90F6C1}"/>
            </c:ext>
          </c:extLst>
        </c:ser>
        <c:ser>
          <c:idx val="4"/>
          <c:order val="4"/>
          <c:tx>
            <c:strRef>
              <c:f>'Fig 5'!$N$39</c:f>
              <c:strCache>
                <c:ptCount val="1"/>
                <c:pt idx="0">
                  <c:v>NO Spacer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5'!$T$40:$T$55</c:f>
                <c:numCache>
                  <c:formatCode>General</c:formatCode>
                  <c:ptCount val="16"/>
                  <c:pt idx="0">
                    <c:v>616.36785553217589</c:v>
                  </c:pt>
                  <c:pt idx="1">
                    <c:v>725.65763277181895</c:v>
                  </c:pt>
                  <c:pt idx="2">
                    <c:v>647.40327462872779</c:v>
                  </c:pt>
                  <c:pt idx="3">
                    <c:v>754.35822613220921</c:v>
                  </c:pt>
                  <c:pt idx="4">
                    <c:v>763.38522385490273</c:v>
                  </c:pt>
                  <c:pt idx="5">
                    <c:v>781.67597720112485</c:v>
                  </c:pt>
                  <c:pt idx="6">
                    <c:v>394.98860743064478</c:v>
                  </c:pt>
                  <c:pt idx="7">
                    <c:v>312.17463061562194</c:v>
                  </c:pt>
                  <c:pt idx="8">
                    <c:v>231.89652865017192</c:v>
                  </c:pt>
                  <c:pt idx="9">
                    <c:v>436.83101233009256</c:v>
                  </c:pt>
                  <c:pt idx="10">
                    <c:v>164.09245361482451</c:v>
                  </c:pt>
                  <c:pt idx="11">
                    <c:v>186.9768256585111</c:v>
                  </c:pt>
                  <c:pt idx="12">
                    <c:v>128.93409169028959</c:v>
                  </c:pt>
                  <c:pt idx="13">
                    <c:v>114.47416011193643</c:v>
                  </c:pt>
                  <c:pt idx="14">
                    <c:v>123.7914913608095</c:v>
                  </c:pt>
                  <c:pt idx="15">
                    <c:v>145.55525869350572</c:v>
                  </c:pt>
                </c:numCache>
              </c:numRef>
            </c:plus>
            <c:minus>
              <c:numRef>
                <c:f>'Fig 5'!$T$40:$T$55</c:f>
                <c:numCache>
                  <c:formatCode>General</c:formatCode>
                  <c:ptCount val="16"/>
                  <c:pt idx="0">
                    <c:v>616.36785553217589</c:v>
                  </c:pt>
                  <c:pt idx="1">
                    <c:v>725.65763277181895</c:v>
                  </c:pt>
                  <c:pt idx="2">
                    <c:v>647.40327462872779</c:v>
                  </c:pt>
                  <c:pt idx="3">
                    <c:v>754.35822613220921</c:v>
                  </c:pt>
                  <c:pt idx="4">
                    <c:v>763.38522385490273</c:v>
                  </c:pt>
                  <c:pt idx="5">
                    <c:v>781.67597720112485</c:v>
                  </c:pt>
                  <c:pt idx="6">
                    <c:v>394.98860743064478</c:v>
                  </c:pt>
                  <c:pt idx="7">
                    <c:v>312.17463061562194</c:v>
                  </c:pt>
                  <c:pt idx="8">
                    <c:v>231.89652865017192</c:v>
                  </c:pt>
                  <c:pt idx="9">
                    <c:v>436.83101233009256</c:v>
                  </c:pt>
                  <c:pt idx="10">
                    <c:v>164.09245361482451</c:v>
                  </c:pt>
                  <c:pt idx="11">
                    <c:v>186.9768256585111</c:v>
                  </c:pt>
                  <c:pt idx="12">
                    <c:v>128.93409169028959</c:v>
                  </c:pt>
                  <c:pt idx="13">
                    <c:v>114.47416011193643</c:v>
                  </c:pt>
                  <c:pt idx="14">
                    <c:v>123.7914913608095</c:v>
                  </c:pt>
                  <c:pt idx="15">
                    <c:v>145.55525869350572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5'!$I$40:$I$55</c:f>
              <c:numCache>
                <c:formatCode>General</c:formatCode>
                <c:ptCount val="1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105</c:v>
                </c:pt>
                <c:pt idx="11">
                  <c:v>120</c:v>
                </c:pt>
                <c:pt idx="12">
                  <c:v>135</c:v>
                </c:pt>
                <c:pt idx="13">
                  <c:v>150</c:v>
                </c:pt>
                <c:pt idx="14">
                  <c:v>165</c:v>
                </c:pt>
                <c:pt idx="15">
                  <c:v>180</c:v>
                </c:pt>
              </c:numCache>
            </c:numRef>
          </c:xVal>
          <c:yVal>
            <c:numRef>
              <c:f>'Fig 5'!$N$40:$N$55</c:f>
              <c:numCache>
                <c:formatCode>General</c:formatCode>
                <c:ptCount val="16"/>
                <c:pt idx="0">
                  <c:v>2000</c:v>
                </c:pt>
                <c:pt idx="1">
                  <c:v>2217.6666666666679</c:v>
                </c:pt>
                <c:pt idx="2">
                  <c:v>2387.6666666666679</c:v>
                </c:pt>
                <c:pt idx="3">
                  <c:v>2456.6699999999983</c:v>
                </c:pt>
                <c:pt idx="4">
                  <c:v>2624.0033333333304</c:v>
                </c:pt>
                <c:pt idx="5">
                  <c:v>2702.3366666666661</c:v>
                </c:pt>
                <c:pt idx="6">
                  <c:v>2832.9996666666675</c:v>
                </c:pt>
                <c:pt idx="7">
                  <c:v>2951.3336666666664</c:v>
                </c:pt>
                <c:pt idx="8">
                  <c:v>3111.9996666666666</c:v>
                </c:pt>
                <c:pt idx="9">
                  <c:v>3316.666666666667</c:v>
                </c:pt>
                <c:pt idx="10">
                  <c:v>3414.3336666666673</c:v>
                </c:pt>
                <c:pt idx="11">
                  <c:v>3586.3329999999996</c:v>
                </c:pt>
                <c:pt idx="12">
                  <c:v>3684.0003333333334</c:v>
                </c:pt>
                <c:pt idx="13">
                  <c:v>3753.3336666666664</c:v>
                </c:pt>
                <c:pt idx="14">
                  <c:v>3821.3336666666664</c:v>
                </c:pt>
                <c:pt idx="15">
                  <c:v>3859.3330000000001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0D-304D-804C-8FA19D90F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143136"/>
        <c:axId val="1072155824"/>
      </c:scatterChart>
      <c:valAx>
        <c:axId val="1812143136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072155824"/>
        <c:crosses val="autoZero"/>
        <c:crossBetween val="midCat"/>
        <c:majorUnit val="30"/>
      </c:valAx>
      <c:valAx>
        <c:axId val="1072155824"/>
        <c:scaling>
          <c:orientation val="minMax"/>
          <c:max val="24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12143136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89892086460806"/>
          <c:y val="0.22074942244143578"/>
          <c:w val="0.26310107913539194"/>
          <c:h val="0.43606896366631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 S4'!$B$44</c:f>
              <c:strCache>
                <c:ptCount val="1"/>
                <c:pt idx="0">
                  <c:v>AGG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S4'!$B$50:$B$53</c:f>
                <c:numCache>
                  <c:formatCode>General</c:formatCode>
                  <c:ptCount val="4"/>
                  <c:pt idx="0">
                    <c:v>451528.60190227517</c:v>
                  </c:pt>
                  <c:pt idx="1">
                    <c:v>45000.668511728793</c:v>
                  </c:pt>
                  <c:pt idx="2">
                    <c:v>271970.4901920305</c:v>
                  </c:pt>
                  <c:pt idx="3">
                    <c:v>751765.52567380574</c:v>
                  </c:pt>
                </c:numCache>
              </c:numRef>
            </c:plus>
            <c:minus>
              <c:numRef>
                <c:f>'Fig S4'!$B$50:$B$53</c:f>
                <c:numCache>
                  <c:formatCode>General</c:formatCode>
                  <c:ptCount val="4"/>
                  <c:pt idx="0">
                    <c:v>451528.60190227517</c:v>
                  </c:pt>
                  <c:pt idx="1">
                    <c:v>45000.668511728793</c:v>
                  </c:pt>
                  <c:pt idx="2">
                    <c:v>271970.4901920305</c:v>
                  </c:pt>
                  <c:pt idx="3">
                    <c:v>751765.52567380574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 S4'!$A$45:$A$48</c:f>
              <c:strCache>
                <c:ptCount val="4"/>
                <c:pt idx="0">
                  <c:v>WT</c:v>
                </c:pt>
                <c:pt idx="1">
                  <c:v>KE1</c:v>
                </c:pt>
                <c:pt idx="2">
                  <c:v>RR1</c:v>
                </c:pt>
                <c:pt idx="3">
                  <c:v>R3</c:v>
                </c:pt>
              </c:strCache>
            </c:strRef>
          </c:cat>
          <c:val>
            <c:numRef>
              <c:f>'Fig S4'!$B$45:$B$48</c:f>
              <c:numCache>
                <c:formatCode>General</c:formatCode>
                <c:ptCount val="4"/>
                <c:pt idx="0">
                  <c:v>1075285.3666666667</c:v>
                </c:pt>
                <c:pt idx="1">
                  <c:v>149583.27499999999</c:v>
                </c:pt>
                <c:pt idx="2">
                  <c:v>1378650.5</c:v>
                </c:pt>
                <c:pt idx="3">
                  <c:v>1718690.3333333333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C84C-8F33-F158F270A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2828496"/>
        <c:axId val="382830208"/>
      </c:barChart>
      <c:catAx>
        <c:axId val="38282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30208"/>
        <c:crosses val="autoZero"/>
        <c:auto val="1"/>
        <c:lblAlgn val="ctr"/>
        <c:lblOffset val="100"/>
        <c:noMultiLvlLbl val="0"/>
      </c:catAx>
      <c:valAx>
        <c:axId val="3828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GFP (a.u.)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5263888888888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28496"/>
        <c:crosses val="autoZero"/>
        <c:crossBetween val="between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S4'!$H$44</c:f>
              <c:strCache>
                <c:ptCount val="1"/>
                <c:pt idx="0">
                  <c:v>AGG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S4'!$H$50:$H$53</c:f>
                <c:numCache>
                  <c:formatCode>General</c:formatCode>
                  <c:ptCount val="4"/>
                  <c:pt idx="0">
                    <c:v>186174.48</c:v>
                  </c:pt>
                  <c:pt idx="1">
                    <c:v>23217</c:v>
                  </c:pt>
                  <c:pt idx="2">
                    <c:v>102254.81</c:v>
                  </c:pt>
                  <c:pt idx="3">
                    <c:v>298958.53000000003</c:v>
                  </c:pt>
                </c:numCache>
              </c:numRef>
            </c:plus>
            <c:minus>
              <c:numRef>
                <c:f>'Fig S4'!$H$50:$H$53</c:f>
                <c:numCache>
                  <c:formatCode>General</c:formatCode>
                  <c:ptCount val="4"/>
                  <c:pt idx="0">
                    <c:v>186174.48</c:v>
                  </c:pt>
                  <c:pt idx="1">
                    <c:v>23217</c:v>
                  </c:pt>
                  <c:pt idx="2">
                    <c:v>102254.81</c:v>
                  </c:pt>
                  <c:pt idx="3">
                    <c:v>298958.53000000003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 S4'!$G$45:$G$48</c:f>
              <c:strCache>
                <c:ptCount val="4"/>
                <c:pt idx="0">
                  <c:v>WT</c:v>
                </c:pt>
                <c:pt idx="1">
                  <c:v>KE1</c:v>
                </c:pt>
                <c:pt idx="2">
                  <c:v>RR1</c:v>
                </c:pt>
                <c:pt idx="3">
                  <c:v>R3</c:v>
                </c:pt>
              </c:strCache>
            </c:strRef>
          </c:cat>
          <c:val>
            <c:numRef>
              <c:f>'Fig S4'!$H$45:$H$48</c:f>
              <c:numCache>
                <c:formatCode>General</c:formatCode>
                <c:ptCount val="4"/>
                <c:pt idx="0">
                  <c:v>589266.28000000014</c:v>
                </c:pt>
                <c:pt idx="1">
                  <c:v>89334.762500000012</c:v>
                </c:pt>
                <c:pt idx="2">
                  <c:v>770299.57</c:v>
                </c:pt>
                <c:pt idx="3">
                  <c:v>833983.65166666673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C-0146-8A68-A98AE7494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968144"/>
        <c:axId val="253299920"/>
      </c:barChart>
      <c:catAx>
        <c:axId val="2096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299920"/>
        <c:crosses val="autoZero"/>
        <c:auto val="1"/>
        <c:lblAlgn val="ctr"/>
        <c:lblOffset val="100"/>
        <c:noMultiLvlLbl val="0"/>
      </c:catAx>
      <c:valAx>
        <c:axId val="253299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GFP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968144"/>
        <c:crosses val="autoZero"/>
        <c:crossBetween val="between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72</xdr:row>
      <xdr:rowOff>146050</xdr:rowOff>
    </xdr:from>
    <xdr:to>
      <xdr:col>7</xdr:col>
      <xdr:colOff>355600</xdr:colOff>
      <xdr:row>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F922F-3F5F-AB44-A404-35CC6F597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121</xdr:row>
      <xdr:rowOff>12700</xdr:rowOff>
    </xdr:from>
    <xdr:to>
      <xdr:col>12</xdr:col>
      <xdr:colOff>50800</xdr:colOff>
      <xdr:row>133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843FD-7E7A-4045-9037-D432F5E6F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102</xdr:row>
      <xdr:rowOff>25400</xdr:rowOff>
    </xdr:from>
    <xdr:to>
      <xdr:col>12</xdr:col>
      <xdr:colOff>12700</xdr:colOff>
      <xdr:row>114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EEF00-1A7D-E845-9B3F-5614308D0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42333</xdr:colOff>
      <xdr:row>43</xdr:row>
      <xdr:rowOff>12699</xdr:rowOff>
    </xdr:from>
    <xdr:to>
      <xdr:col>26</xdr:col>
      <xdr:colOff>533400</xdr:colOff>
      <xdr:row>55</xdr:row>
      <xdr:rowOff>23280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078EA4C-5A40-3B47-8BDD-3CA48A571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25400</xdr:rowOff>
    </xdr:from>
    <xdr:to>
      <xdr:col>2</xdr:col>
      <xdr:colOff>234462</xdr:colOff>
      <xdr:row>88</xdr:row>
      <xdr:rowOff>111369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9B70BA-3F18-C742-AA50-B81893F0C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29309</xdr:colOff>
      <xdr:row>38</xdr:row>
      <xdr:rowOff>53625</xdr:rowOff>
    </xdr:from>
    <xdr:to>
      <xdr:col>12</xdr:col>
      <xdr:colOff>284394</xdr:colOff>
      <xdr:row>52</xdr:row>
      <xdr:rowOff>145454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2C1EDC-E89C-B44D-9C66-74A64E0C7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C6FE57-FEA8-A541-BC81-F2D0618260F1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22717746368989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96"/>
  <sheetViews>
    <sheetView topLeftCell="A39" workbookViewId="0">
      <selection activeCell="T27" sqref="T27"/>
    </sheetView>
  </sheetViews>
  <sheetFormatPr baseColWidth="10" defaultColWidth="14.5" defaultRowHeight="15" customHeight="1"/>
  <cols>
    <col min="1" max="26" width="8.83203125" customWidth="1"/>
    <col min="27" max="27" width="9" customWidth="1"/>
    <col min="28" max="29" width="9.33203125" customWidth="1"/>
  </cols>
  <sheetData>
    <row r="1" spans="1:12">
      <c r="A1" s="1" t="s">
        <v>0</v>
      </c>
      <c r="E1" s="1" t="s">
        <v>1</v>
      </c>
    </row>
    <row r="2" spans="1:12">
      <c r="A2" s="1" t="s">
        <v>2</v>
      </c>
      <c r="E2" s="1" t="s">
        <v>3</v>
      </c>
      <c r="I2" s="1" t="s">
        <v>4</v>
      </c>
    </row>
    <row r="3" spans="1:12">
      <c r="A3" s="1" t="s">
        <v>5</v>
      </c>
      <c r="E3" s="1" t="s">
        <v>6</v>
      </c>
    </row>
    <row r="7" spans="1:12">
      <c r="A7" s="1" t="s">
        <v>7</v>
      </c>
      <c r="E7" s="1" t="s">
        <v>8</v>
      </c>
    </row>
    <row r="8" spans="1:12">
      <c r="A8" s="1" t="s">
        <v>9</v>
      </c>
      <c r="E8" s="1" t="s">
        <v>10</v>
      </c>
    </row>
    <row r="9" spans="1:12">
      <c r="A9" s="1" t="s">
        <v>11</v>
      </c>
      <c r="E9" s="1" t="s">
        <v>12</v>
      </c>
    </row>
    <row r="10" spans="1:12">
      <c r="A10" s="1" t="s">
        <v>13</v>
      </c>
    </row>
    <row r="12" spans="1:12">
      <c r="A12" s="2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7" spans="1:6">
      <c r="A17" s="1" t="s">
        <v>17</v>
      </c>
      <c r="E17" s="1" t="s">
        <v>15</v>
      </c>
    </row>
    <row r="18" spans="1:6">
      <c r="A18" s="1" t="s">
        <v>18</v>
      </c>
      <c r="E18" s="1">
        <v>485</v>
      </c>
      <c r="F18" s="1" t="s">
        <v>19</v>
      </c>
    </row>
    <row r="19" spans="1:6" ht="15.75" customHeight="1">
      <c r="A19" s="1" t="s">
        <v>20</v>
      </c>
      <c r="E19" s="1">
        <v>535</v>
      </c>
      <c r="F19" s="1" t="s">
        <v>19</v>
      </c>
    </row>
    <row r="20" spans="1:6" ht="15.75" customHeight="1">
      <c r="A20" s="1" t="s">
        <v>21</v>
      </c>
      <c r="E20" s="1">
        <v>20</v>
      </c>
      <c r="F20" s="1" t="s">
        <v>19</v>
      </c>
    </row>
    <row r="21" spans="1:6" ht="15.75" customHeight="1">
      <c r="A21" s="1" t="s">
        <v>22</v>
      </c>
      <c r="E21" s="1">
        <v>25</v>
      </c>
      <c r="F21" s="1" t="s">
        <v>19</v>
      </c>
    </row>
    <row r="22" spans="1:6" ht="15.75" customHeight="1">
      <c r="A22" s="1" t="s">
        <v>23</v>
      </c>
      <c r="E22" s="1">
        <v>145</v>
      </c>
      <c r="F22" s="1" t="s">
        <v>24</v>
      </c>
    </row>
    <row r="23" spans="1:6" ht="15.75" customHeight="1">
      <c r="A23" s="1" t="s">
        <v>25</v>
      </c>
      <c r="E23" s="1">
        <v>10</v>
      </c>
    </row>
    <row r="24" spans="1:6" ht="15.75" customHeight="1">
      <c r="A24" s="1" t="s">
        <v>26</v>
      </c>
      <c r="E24" s="1">
        <v>20</v>
      </c>
      <c r="F24" s="1" t="s">
        <v>27</v>
      </c>
    </row>
    <row r="25" spans="1:6" ht="15.75" customHeight="1">
      <c r="A25" s="1" t="s">
        <v>28</v>
      </c>
      <c r="E25" s="1">
        <v>0</v>
      </c>
      <c r="F25" s="1" t="s">
        <v>29</v>
      </c>
    </row>
    <row r="26" spans="1:6" ht="15.75" customHeight="1">
      <c r="A26" s="1" t="s">
        <v>30</v>
      </c>
      <c r="E26" s="1">
        <v>1.202</v>
      </c>
      <c r="F26" s="1" t="s">
        <v>31</v>
      </c>
    </row>
    <row r="27" spans="1:6" ht="15.75" customHeight="1">
      <c r="A27" s="1" t="s">
        <v>32</v>
      </c>
      <c r="E27" s="1" t="s">
        <v>42</v>
      </c>
    </row>
    <row r="28" spans="1:6" ht="15.75" customHeight="1">
      <c r="A28" s="1" t="s">
        <v>33</v>
      </c>
    </row>
    <row r="29" spans="1:6" ht="15.75" customHeight="1">
      <c r="A29" s="1" t="s">
        <v>34</v>
      </c>
      <c r="E29" s="3"/>
    </row>
    <row r="30" spans="1:6" ht="15.75" customHeight="1">
      <c r="A30" s="1" t="s">
        <v>35</v>
      </c>
      <c r="E30" s="1" t="s">
        <v>43</v>
      </c>
    </row>
    <row r="31" spans="1:6" ht="15.75" customHeight="1"/>
    <row r="32" spans="1:6" ht="15.75" customHeight="1">
      <c r="B32" s="1" t="s">
        <v>44</v>
      </c>
    </row>
    <row r="33" spans="1:29" ht="15.75" customHeight="1">
      <c r="A33" s="1" t="s">
        <v>36</v>
      </c>
    </row>
    <row r="34" spans="1:29" ht="15.75" customHeight="1">
      <c r="A34" s="4" t="s">
        <v>45</v>
      </c>
      <c r="B34" s="4">
        <v>21</v>
      </c>
      <c r="C34" s="4">
        <v>22</v>
      </c>
      <c r="D34" s="4">
        <v>23</v>
      </c>
      <c r="E34" s="4">
        <v>24</v>
      </c>
      <c r="G34" s="4" t="s">
        <v>45</v>
      </c>
      <c r="H34" s="4">
        <v>17</v>
      </c>
      <c r="I34" s="4">
        <v>18</v>
      </c>
      <c r="J34" s="4">
        <v>19</v>
      </c>
      <c r="K34" s="4">
        <v>20</v>
      </c>
      <c r="M34" s="4" t="s">
        <v>45</v>
      </c>
      <c r="N34" s="4">
        <v>13</v>
      </c>
      <c r="O34" s="4">
        <v>14</v>
      </c>
      <c r="P34" s="4">
        <v>15</v>
      </c>
      <c r="Q34" s="4">
        <v>16</v>
      </c>
      <c r="S34" s="4" t="s">
        <v>45</v>
      </c>
      <c r="T34" s="4">
        <v>9</v>
      </c>
      <c r="U34" s="4">
        <v>10</v>
      </c>
      <c r="V34" s="4">
        <v>11</v>
      </c>
      <c r="W34" s="4">
        <v>12</v>
      </c>
      <c r="Y34" s="4" t="s">
        <v>45</v>
      </c>
      <c r="Z34" s="4">
        <v>5</v>
      </c>
      <c r="AA34" s="4">
        <v>6</v>
      </c>
      <c r="AB34" s="4">
        <v>7</v>
      </c>
      <c r="AC34" s="4">
        <v>8</v>
      </c>
    </row>
    <row r="35" spans="1:29" ht="15.75" customHeight="1">
      <c r="A35" s="4" t="s">
        <v>46</v>
      </c>
      <c r="B35" s="5" t="s">
        <v>37</v>
      </c>
      <c r="C35" s="1">
        <v>142</v>
      </c>
      <c r="D35" s="1">
        <v>277</v>
      </c>
      <c r="E35" s="1">
        <v>315</v>
      </c>
      <c r="G35" s="4" t="s">
        <v>46</v>
      </c>
      <c r="H35" s="1">
        <v>283</v>
      </c>
      <c r="I35" s="1">
        <v>269</v>
      </c>
      <c r="J35" s="1">
        <v>103</v>
      </c>
      <c r="K35" s="5" t="s">
        <v>37</v>
      </c>
      <c r="M35" s="4" t="s">
        <v>46</v>
      </c>
      <c r="N35" s="5" t="s">
        <v>37</v>
      </c>
      <c r="O35" s="1">
        <v>52</v>
      </c>
      <c r="P35" s="1">
        <v>270</v>
      </c>
      <c r="Q35" s="1">
        <v>267</v>
      </c>
      <c r="S35" s="4" t="s">
        <v>46</v>
      </c>
      <c r="T35" s="5" t="s">
        <v>37</v>
      </c>
      <c r="U35" s="1">
        <v>121</v>
      </c>
      <c r="V35" s="1">
        <v>175</v>
      </c>
      <c r="W35" s="1">
        <v>232</v>
      </c>
      <c r="Y35" s="4" t="s">
        <v>46</v>
      </c>
      <c r="Z35" s="5" t="s">
        <v>37</v>
      </c>
      <c r="AA35" s="1">
        <v>120</v>
      </c>
      <c r="AB35" s="1">
        <v>130</v>
      </c>
      <c r="AC35" s="1">
        <v>204</v>
      </c>
    </row>
    <row r="36" spans="1:29" ht="15.75" customHeight="1">
      <c r="A36" s="4" t="s">
        <v>47</v>
      </c>
      <c r="B36" s="5" t="s">
        <v>37</v>
      </c>
      <c r="C36" s="1">
        <v>135</v>
      </c>
      <c r="D36" s="1">
        <v>299</v>
      </c>
      <c r="E36" s="1">
        <v>296</v>
      </c>
      <c r="G36" s="4" t="s">
        <v>47</v>
      </c>
      <c r="H36" s="1">
        <v>277</v>
      </c>
      <c r="I36" s="1">
        <v>277</v>
      </c>
      <c r="J36" s="1">
        <v>81</v>
      </c>
      <c r="K36" s="5" t="s">
        <v>37</v>
      </c>
      <c r="M36" s="4" t="s">
        <v>47</v>
      </c>
      <c r="N36" s="5" t="s">
        <v>37</v>
      </c>
      <c r="O36" s="1">
        <v>12</v>
      </c>
      <c r="P36" s="1">
        <v>283</v>
      </c>
      <c r="Q36" s="19"/>
      <c r="S36" s="4" t="s">
        <v>47</v>
      </c>
      <c r="T36" s="5" t="s">
        <v>37</v>
      </c>
      <c r="U36" s="1">
        <v>100</v>
      </c>
      <c r="V36" s="1">
        <v>200</v>
      </c>
      <c r="W36" s="1">
        <v>238</v>
      </c>
      <c r="Y36" s="4" t="s">
        <v>47</v>
      </c>
      <c r="Z36" s="5" t="s">
        <v>37</v>
      </c>
      <c r="AA36" s="1">
        <v>110</v>
      </c>
      <c r="AB36" s="1">
        <v>168</v>
      </c>
      <c r="AC36" s="1">
        <v>200</v>
      </c>
    </row>
    <row r="37" spans="1:29" ht="15.75" customHeight="1">
      <c r="A37" s="4" t="s">
        <v>48</v>
      </c>
      <c r="B37" s="5" t="s">
        <v>37</v>
      </c>
      <c r="C37" s="1">
        <v>138</v>
      </c>
      <c r="D37" s="1">
        <v>282</v>
      </c>
      <c r="E37" s="1">
        <v>277</v>
      </c>
      <c r="G37" s="4" t="s">
        <v>48</v>
      </c>
      <c r="H37" s="1">
        <v>311</v>
      </c>
      <c r="I37" s="19" t="s">
        <v>52</v>
      </c>
      <c r="J37" s="1">
        <v>95</v>
      </c>
      <c r="K37" s="5" t="s">
        <v>37</v>
      </c>
      <c r="M37" s="4" t="s">
        <v>48</v>
      </c>
      <c r="N37" s="5" t="s">
        <v>37</v>
      </c>
      <c r="O37" s="1">
        <v>71</v>
      </c>
      <c r="P37" s="1">
        <v>298</v>
      </c>
      <c r="Q37" s="19"/>
      <c r="S37" s="4" t="s">
        <v>48</v>
      </c>
      <c r="T37" s="5" t="s">
        <v>37</v>
      </c>
      <c r="U37" s="1">
        <v>109</v>
      </c>
      <c r="V37" s="1">
        <v>188</v>
      </c>
      <c r="W37" s="1">
        <v>222</v>
      </c>
      <c r="Y37" s="4" t="s">
        <v>48</v>
      </c>
      <c r="Z37" s="5" t="s">
        <v>37</v>
      </c>
      <c r="AA37" s="1">
        <v>105</v>
      </c>
      <c r="AB37" s="1">
        <v>151</v>
      </c>
      <c r="AC37" s="1">
        <v>211</v>
      </c>
    </row>
    <row r="38" spans="1:29" ht="15.75" customHeight="1">
      <c r="A38" s="4" t="s">
        <v>49</v>
      </c>
      <c r="B38" s="5" t="s">
        <v>37</v>
      </c>
      <c r="C38" s="1">
        <v>51</v>
      </c>
      <c r="D38" s="1">
        <v>234</v>
      </c>
      <c r="E38" s="1">
        <v>204</v>
      </c>
      <c r="G38" s="4" t="s">
        <v>49</v>
      </c>
      <c r="H38" s="1">
        <v>329</v>
      </c>
      <c r="I38" s="1">
        <v>312</v>
      </c>
      <c r="J38" s="1">
        <v>64</v>
      </c>
      <c r="K38" s="5" t="s">
        <v>37</v>
      </c>
      <c r="M38" s="4" t="s">
        <v>49</v>
      </c>
      <c r="N38" s="5" t="s">
        <v>37</v>
      </c>
      <c r="O38" s="1">
        <v>35</v>
      </c>
      <c r="P38" s="1">
        <v>334</v>
      </c>
      <c r="Q38" s="1">
        <v>340</v>
      </c>
      <c r="S38" s="4" t="s">
        <v>49</v>
      </c>
      <c r="T38" s="5" t="s">
        <v>37</v>
      </c>
      <c r="U38" s="1">
        <v>68</v>
      </c>
      <c r="V38" s="1">
        <v>69</v>
      </c>
      <c r="W38" s="1">
        <v>64</v>
      </c>
      <c r="Y38" s="4" t="s">
        <v>49</v>
      </c>
      <c r="Z38" s="5" t="s">
        <v>37</v>
      </c>
      <c r="AA38" s="1">
        <v>85</v>
      </c>
      <c r="AB38" s="1">
        <v>56</v>
      </c>
      <c r="AC38" s="1">
        <v>76</v>
      </c>
    </row>
    <row r="39" spans="1:29" ht="15.75" customHeight="1">
      <c r="A39" s="4" t="s">
        <v>50</v>
      </c>
      <c r="B39" s="5" t="s">
        <v>37</v>
      </c>
      <c r="C39" s="1">
        <v>73</v>
      </c>
      <c r="D39" s="1">
        <v>238</v>
      </c>
      <c r="E39" s="1">
        <v>208</v>
      </c>
      <c r="G39" s="4" t="s">
        <v>50</v>
      </c>
      <c r="H39" s="1">
        <v>307</v>
      </c>
      <c r="I39" s="1">
        <v>307</v>
      </c>
      <c r="J39" s="1">
        <v>55</v>
      </c>
      <c r="K39" s="5" t="s">
        <v>37</v>
      </c>
      <c r="M39" s="4" t="s">
        <v>50</v>
      </c>
      <c r="N39" s="5" t="s">
        <v>37</v>
      </c>
      <c r="O39" s="1">
        <v>33</v>
      </c>
      <c r="P39" s="1">
        <v>311</v>
      </c>
      <c r="Q39" s="1">
        <v>287</v>
      </c>
      <c r="S39" s="4" t="s">
        <v>50</v>
      </c>
      <c r="T39" s="5" t="s">
        <v>37</v>
      </c>
      <c r="U39" s="1">
        <v>96</v>
      </c>
      <c r="V39" s="1">
        <v>71</v>
      </c>
      <c r="W39" s="1">
        <v>57</v>
      </c>
      <c r="Y39" s="4" t="s">
        <v>50</v>
      </c>
      <c r="Z39" s="5" t="s">
        <v>37</v>
      </c>
      <c r="AA39" s="1">
        <v>86</v>
      </c>
      <c r="AB39" s="1">
        <v>70</v>
      </c>
      <c r="AC39" s="1">
        <v>69</v>
      </c>
    </row>
    <row r="40" spans="1:29" ht="15.75" customHeight="1">
      <c r="A40" s="4" t="s">
        <v>51</v>
      </c>
      <c r="B40" s="5" t="s">
        <v>37</v>
      </c>
      <c r="C40" s="1">
        <v>75</v>
      </c>
      <c r="D40" s="1">
        <v>210</v>
      </c>
      <c r="E40" s="1">
        <v>192</v>
      </c>
      <c r="G40" s="4" t="s">
        <v>51</v>
      </c>
      <c r="H40" s="1">
        <v>315</v>
      </c>
      <c r="I40" s="1">
        <v>296</v>
      </c>
      <c r="J40" s="1">
        <v>24</v>
      </c>
      <c r="K40" s="5" t="s">
        <v>37</v>
      </c>
      <c r="M40" s="4" t="s">
        <v>51</v>
      </c>
      <c r="N40" s="5" t="s">
        <v>37</v>
      </c>
      <c r="O40" s="1">
        <v>34</v>
      </c>
      <c r="P40" s="1">
        <v>337</v>
      </c>
      <c r="Q40" s="1">
        <v>299</v>
      </c>
      <c r="S40" s="4" t="s">
        <v>51</v>
      </c>
      <c r="T40" s="5" t="s">
        <v>37</v>
      </c>
      <c r="U40" s="1">
        <v>78</v>
      </c>
      <c r="V40" s="1">
        <v>61</v>
      </c>
      <c r="W40" s="1">
        <v>68</v>
      </c>
      <c r="Y40" s="4" t="s">
        <v>51</v>
      </c>
      <c r="Z40" s="5" t="s">
        <v>37</v>
      </c>
      <c r="AA40" s="1">
        <v>77</v>
      </c>
      <c r="AB40" s="1">
        <v>90</v>
      </c>
      <c r="AC40" s="1">
        <v>67</v>
      </c>
    </row>
    <row r="41" spans="1:29" ht="15.75" customHeight="1"/>
    <row r="42" spans="1:29" ht="15.75" customHeight="1">
      <c r="A42" s="1" t="s">
        <v>38</v>
      </c>
      <c r="G42" s="1" t="s">
        <v>38</v>
      </c>
      <c r="M42" s="1" t="s">
        <v>38</v>
      </c>
      <c r="S42" s="1" t="s">
        <v>38</v>
      </c>
      <c r="Y42" s="1" t="s">
        <v>38</v>
      </c>
    </row>
    <row r="43" spans="1:29" ht="15.75" customHeight="1">
      <c r="A43" s="4" t="s">
        <v>45</v>
      </c>
      <c r="B43" s="4">
        <v>21</v>
      </c>
      <c r="C43" s="4">
        <v>22</v>
      </c>
      <c r="D43" s="4">
        <v>23</v>
      </c>
      <c r="E43" s="4">
        <v>24</v>
      </c>
      <c r="G43" s="4" t="s">
        <v>45</v>
      </c>
      <c r="H43" s="4">
        <v>17</v>
      </c>
      <c r="I43" s="4">
        <v>18</v>
      </c>
      <c r="J43" s="4">
        <v>19</v>
      </c>
      <c r="K43" s="4">
        <v>20</v>
      </c>
      <c r="M43" s="4" t="s">
        <v>45</v>
      </c>
      <c r="N43" s="4">
        <v>13</v>
      </c>
      <c r="O43" s="4">
        <v>14</v>
      </c>
      <c r="P43" s="4">
        <v>15</v>
      </c>
      <c r="Q43" s="4">
        <v>16</v>
      </c>
      <c r="S43" s="4" t="s">
        <v>45</v>
      </c>
      <c r="T43" s="4">
        <v>9</v>
      </c>
      <c r="U43" s="4">
        <v>10</v>
      </c>
      <c r="V43" s="4">
        <v>11</v>
      </c>
      <c r="W43" s="4">
        <v>12</v>
      </c>
      <c r="Y43" s="4" t="s">
        <v>45</v>
      </c>
      <c r="Z43" s="4">
        <v>5</v>
      </c>
      <c r="AA43" s="4">
        <v>6</v>
      </c>
      <c r="AB43" s="4">
        <v>7</v>
      </c>
      <c r="AC43" s="4">
        <v>8</v>
      </c>
    </row>
    <row r="44" spans="1:29" ht="15.75" customHeight="1">
      <c r="A44" s="4" t="s">
        <v>46</v>
      </c>
      <c r="B44" s="5" t="s">
        <v>37</v>
      </c>
      <c r="C44" s="1">
        <v>99</v>
      </c>
      <c r="D44" s="1">
        <v>203</v>
      </c>
      <c r="E44" s="1">
        <v>235</v>
      </c>
      <c r="G44" s="4" t="s">
        <v>46</v>
      </c>
      <c r="H44" s="1">
        <v>208</v>
      </c>
      <c r="I44" s="1">
        <v>197</v>
      </c>
      <c r="J44" s="1">
        <v>71</v>
      </c>
      <c r="K44" s="5" t="s">
        <v>37</v>
      </c>
      <c r="M44" s="4" t="s">
        <v>46</v>
      </c>
      <c r="N44" s="5" t="s">
        <v>37</v>
      </c>
      <c r="O44" s="1">
        <v>35</v>
      </c>
      <c r="P44" s="1">
        <v>198</v>
      </c>
      <c r="Q44" s="1">
        <v>195</v>
      </c>
      <c r="S44" s="4" t="s">
        <v>46</v>
      </c>
      <c r="T44" s="5" t="s">
        <v>37</v>
      </c>
      <c r="U44" s="1">
        <v>84</v>
      </c>
      <c r="V44" s="1">
        <v>124</v>
      </c>
      <c r="W44" s="1">
        <v>168</v>
      </c>
      <c r="Y44" s="4" t="s">
        <v>46</v>
      </c>
      <c r="Z44" s="5" t="s">
        <v>37</v>
      </c>
      <c r="AA44" s="1">
        <v>83</v>
      </c>
      <c r="AB44" s="1">
        <v>91</v>
      </c>
      <c r="AC44" s="1">
        <v>146</v>
      </c>
    </row>
    <row r="45" spans="1:29" ht="15.75" customHeight="1">
      <c r="A45" s="4" t="s">
        <v>47</v>
      </c>
      <c r="B45" s="5" t="s">
        <v>37</v>
      </c>
      <c r="C45" s="1">
        <v>94</v>
      </c>
      <c r="D45" s="1">
        <v>222</v>
      </c>
      <c r="E45" s="1">
        <v>219</v>
      </c>
      <c r="G45" s="4" t="s">
        <v>47</v>
      </c>
      <c r="H45" s="1">
        <v>203</v>
      </c>
      <c r="I45" s="1">
        <v>204</v>
      </c>
      <c r="J45" s="1">
        <v>55</v>
      </c>
      <c r="K45" s="5" t="s">
        <v>37</v>
      </c>
      <c r="M45" s="4" t="s">
        <v>47</v>
      </c>
      <c r="N45" s="5" t="s">
        <v>37</v>
      </c>
      <c r="O45" s="1">
        <v>8</v>
      </c>
      <c r="P45" s="1">
        <v>208</v>
      </c>
      <c r="Q45" s="19" t="s">
        <v>52</v>
      </c>
      <c r="S45" s="4" t="s">
        <v>47</v>
      </c>
      <c r="T45" s="5" t="s">
        <v>37</v>
      </c>
      <c r="U45" s="1">
        <v>69</v>
      </c>
      <c r="V45" s="1">
        <v>143</v>
      </c>
      <c r="W45" s="1">
        <v>172</v>
      </c>
      <c r="Y45" s="4" t="s">
        <v>47</v>
      </c>
      <c r="Z45" s="5" t="s">
        <v>37</v>
      </c>
      <c r="AA45" s="1">
        <v>76</v>
      </c>
      <c r="AB45" s="1">
        <v>119</v>
      </c>
      <c r="AC45" s="1">
        <v>143</v>
      </c>
    </row>
    <row r="46" spans="1:29" ht="15.75" customHeight="1">
      <c r="A46" s="4" t="s">
        <v>48</v>
      </c>
      <c r="B46" s="5" t="s">
        <v>37</v>
      </c>
      <c r="C46" s="1">
        <v>96</v>
      </c>
      <c r="D46" s="1">
        <v>208</v>
      </c>
      <c r="E46" s="1">
        <v>204</v>
      </c>
      <c r="G46" s="4" t="s">
        <v>48</v>
      </c>
      <c r="H46" s="1">
        <v>231</v>
      </c>
      <c r="I46" s="19" t="s">
        <v>52</v>
      </c>
      <c r="J46" s="1">
        <v>66</v>
      </c>
      <c r="K46" s="5" t="s">
        <v>37</v>
      </c>
      <c r="M46" s="4" t="s">
        <v>48</v>
      </c>
      <c r="N46" s="5" t="s">
        <v>37</v>
      </c>
      <c r="O46" s="1">
        <v>48</v>
      </c>
      <c r="P46" s="1">
        <v>220</v>
      </c>
      <c r="Q46" s="19" t="s">
        <v>52</v>
      </c>
      <c r="S46" s="4" t="s">
        <v>48</v>
      </c>
      <c r="T46" s="5" t="s">
        <v>37</v>
      </c>
      <c r="U46" s="1">
        <v>76</v>
      </c>
      <c r="V46" s="1">
        <v>134</v>
      </c>
      <c r="W46" s="1">
        <v>160</v>
      </c>
      <c r="Y46" s="4" t="s">
        <v>48</v>
      </c>
      <c r="Z46" s="5" t="s">
        <v>37</v>
      </c>
      <c r="AA46" s="1">
        <v>72</v>
      </c>
      <c r="AB46" s="1">
        <v>106</v>
      </c>
      <c r="AC46" s="1">
        <v>151</v>
      </c>
    </row>
    <row r="47" spans="1:29" ht="15.75" customHeight="1">
      <c r="A47" s="4" t="s">
        <v>49</v>
      </c>
      <c r="B47" s="5" t="s">
        <v>37</v>
      </c>
      <c r="C47" s="1">
        <v>35</v>
      </c>
      <c r="D47" s="1">
        <v>169</v>
      </c>
      <c r="E47" s="1">
        <v>146</v>
      </c>
      <c r="G47" s="4" t="s">
        <v>49</v>
      </c>
      <c r="H47" s="1">
        <v>246</v>
      </c>
      <c r="I47" s="1">
        <v>232</v>
      </c>
      <c r="J47" s="1">
        <v>44</v>
      </c>
      <c r="K47" s="5" t="s">
        <v>37</v>
      </c>
      <c r="M47" s="4" t="s">
        <v>49</v>
      </c>
      <c r="N47" s="5" t="s">
        <v>37</v>
      </c>
      <c r="O47" s="1">
        <v>24</v>
      </c>
      <c r="P47" s="1">
        <v>250</v>
      </c>
      <c r="Q47" s="1">
        <v>256</v>
      </c>
      <c r="S47" s="4" t="s">
        <v>49</v>
      </c>
      <c r="T47" s="5" t="s">
        <v>37</v>
      </c>
      <c r="U47" s="1">
        <v>46</v>
      </c>
      <c r="V47" s="1">
        <v>47</v>
      </c>
      <c r="W47" s="1">
        <v>43</v>
      </c>
      <c r="Y47" s="4" t="s">
        <v>49</v>
      </c>
      <c r="Z47" s="5" t="s">
        <v>37</v>
      </c>
      <c r="AA47" s="1">
        <v>58</v>
      </c>
      <c r="AB47" s="1">
        <v>38</v>
      </c>
      <c r="AC47" s="1">
        <v>52</v>
      </c>
    </row>
    <row r="48" spans="1:29" ht="15.75" customHeight="1">
      <c r="A48" s="4" t="s">
        <v>50</v>
      </c>
      <c r="B48" s="5" t="s">
        <v>37</v>
      </c>
      <c r="C48" s="1">
        <v>50</v>
      </c>
      <c r="D48" s="1">
        <v>172</v>
      </c>
      <c r="E48" s="1">
        <v>149</v>
      </c>
      <c r="G48" s="4" t="s">
        <v>50</v>
      </c>
      <c r="H48" s="1">
        <v>228</v>
      </c>
      <c r="I48" s="1">
        <v>228</v>
      </c>
      <c r="J48" s="1">
        <v>37</v>
      </c>
      <c r="K48" s="5" t="s">
        <v>37</v>
      </c>
      <c r="M48" s="4" t="s">
        <v>50</v>
      </c>
      <c r="N48" s="5" t="s">
        <v>37</v>
      </c>
      <c r="O48" s="1">
        <v>22</v>
      </c>
      <c r="P48" s="1">
        <v>232</v>
      </c>
      <c r="Q48" s="1">
        <v>211</v>
      </c>
      <c r="S48" s="4" t="s">
        <v>50</v>
      </c>
      <c r="T48" s="5" t="s">
        <v>37</v>
      </c>
      <c r="U48" s="1">
        <v>66</v>
      </c>
      <c r="V48" s="1">
        <v>48</v>
      </c>
      <c r="W48" s="1">
        <v>39</v>
      </c>
      <c r="Y48" s="4" t="s">
        <v>50</v>
      </c>
      <c r="Z48" s="5" t="s">
        <v>37</v>
      </c>
      <c r="AA48" s="1">
        <v>59</v>
      </c>
      <c r="AB48" s="1">
        <v>48</v>
      </c>
      <c r="AC48" s="1">
        <v>47</v>
      </c>
    </row>
    <row r="49" spans="1:29" ht="15.75" customHeight="1">
      <c r="A49" s="4" t="s">
        <v>51</v>
      </c>
      <c r="B49" s="5" t="s">
        <v>37</v>
      </c>
      <c r="C49" s="1">
        <v>52</v>
      </c>
      <c r="D49" s="1">
        <v>150</v>
      </c>
      <c r="E49" s="1">
        <v>137</v>
      </c>
      <c r="G49" s="4" t="s">
        <v>51</v>
      </c>
      <c r="H49" s="1">
        <v>234</v>
      </c>
      <c r="I49" s="1">
        <v>219</v>
      </c>
      <c r="J49" s="1">
        <v>16</v>
      </c>
      <c r="K49" s="5" t="s">
        <v>37</v>
      </c>
      <c r="M49" s="4" t="s">
        <v>51</v>
      </c>
      <c r="N49" s="5" t="s">
        <v>37</v>
      </c>
      <c r="O49" s="1">
        <v>23</v>
      </c>
      <c r="P49" s="1">
        <v>253</v>
      </c>
      <c r="Q49" s="1">
        <v>221</v>
      </c>
      <c r="S49" s="4" t="s">
        <v>51</v>
      </c>
      <c r="T49" s="5" t="s">
        <v>37</v>
      </c>
      <c r="U49" s="1">
        <v>53</v>
      </c>
      <c r="V49" s="1">
        <v>42</v>
      </c>
      <c r="W49" s="1">
        <v>46</v>
      </c>
      <c r="Y49" s="4" t="s">
        <v>51</v>
      </c>
      <c r="Z49" s="5" t="s">
        <v>37</v>
      </c>
      <c r="AA49" s="1">
        <v>53</v>
      </c>
      <c r="AB49" s="1">
        <v>62</v>
      </c>
      <c r="AC49" s="1">
        <v>46</v>
      </c>
    </row>
    <row r="50" spans="1:29" ht="15.75" customHeight="1"/>
    <row r="51" spans="1:29" ht="15.75" customHeight="1">
      <c r="A51" s="1" t="s">
        <v>39</v>
      </c>
      <c r="G51" s="1" t="s">
        <v>39</v>
      </c>
      <c r="M51" s="1" t="s">
        <v>39</v>
      </c>
      <c r="S51" s="1" t="s">
        <v>39</v>
      </c>
      <c r="Y51" s="1" t="s">
        <v>39</v>
      </c>
    </row>
    <row r="52" spans="1:29" ht="15.75" customHeight="1">
      <c r="A52" s="4" t="s">
        <v>45</v>
      </c>
      <c r="B52" s="4">
        <v>21</v>
      </c>
      <c r="C52" s="4">
        <v>22</v>
      </c>
      <c r="D52" s="4">
        <v>23</v>
      </c>
      <c r="E52" s="4">
        <v>24</v>
      </c>
      <c r="G52" s="4" t="s">
        <v>45</v>
      </c>
      <c r="H52" s="4">
        <v>17</v>
      </c>
      <c r="I52" s="4">
        <v>18</v>
      </c>
      <c r="J52" s="4">
        <v>19</v>
      </c>
      <c r="K52" s="4">
        <v>20</v>
      </c>
      <c r="M52" s="4" t="s">
        <v>45</v>
      </c>
      <c r="N52" s="4">
        <v>13</v>
      </c>
      <c r="O52" s="4">
        <v>14</v>
      </c>
      <c r="P52" s="4">
        <v>15</v>
      </c>
      <c r="Q52" s="4">
        <v>16</v>
      </c>
      <c r="S52" s="4" t="s">
        <v>45</v>
      </c>
      <c r="T52" s="4">
        <v>9</v>
      </c>
      <c r="U52" s="4">
        <v>10</v>
      </c>
      <c r="V52" s="4">
        <v>11</v>
      </c>
      <c r="W52" s="4">
        <v>12</v>
      </c>
      <c r="Y52" s="4" t="s">
        <v>45</v>
      </c>
      <c r="Z52" s="4">
        <v>5</v>
      </c>
      <c r="AA52" s="4">
        <v>6</v>
      </c>
      <c r="AB52" s="4">
        <v>7</v>
      </c>
      <c r="AC52" s="4">
        <v>8</v>
      </c>
    </row>
    <row r="53" spans="1:29" ht="15.75" customHeight="1">
      <c r="A53" s="4" t="s">
        <v>46</v>
      </c>
      <c r="B53" s="5" t="s">
        <v>37</v>
      </c>
      <c r="C53" s="1">
        <v>46070</v>
      </c>
      <c r="D53" s="1">
        <v>39088</v>
      </c>
      <c r="E53" s="1">
        <v>39919</v>
      </c>
      <c r="G53" s="4" t="s">
        <v>46</v>
      </c>
      <c r="H53" s="1">
        <v>32666</v>
      </c>
      <c r="I53" s="1">
        <v>32801</v>
      </c>
      <c r="J53" s="1">
        <v>36008</v>
      </c>
      <c r="K53" s="5" t="s">
        <v>37</v>
      </c>
      <c r="M53" s="4" t="s">
        <v>46</v>
      </c>
      <c r="N53" s="5" t="s">
        <v>37</v>
      </c>
      <c r="O53" s="1">
        <v>31789</v>
      </c>
      <c r="P53" s="1">
        <v>30783</v>
      </c>
      <c r="Q53" s="1">
        <v>29150</v>
      </c>
      <c r="S53" s="4" t="s">
        <v>46</v>
      </c>
      <c r="T53" s="5" t="s">
        <v>37</v>
      </c>
      <c r="U53" s="1">
        <v>50397</v>
      </c>
      <c r="V53" s="1">
        <v>47188</v>
      </c>
      <c r="W53" s="1">
        <v>52332</v>
      </c>
      <c r="Y53" s="4" t="s">
        <v>46</v>
      </c>
      <c r="Z53" s="5" t="s">
        <v>37</v>
      </c>
      <c r="AA53" s="1">
        <v>52446</v>
      </c>
      <c r="AB53" s="1">
        <v>48182</v>
      </c>
      <c r="AC53" s="1">
        <v>44119</v>
      </c>
    </row>
    <row r="54" spans="1:29" ht="15.75" customHeight="1">
      <c r="A54" s="4" t="s">
        <v>47</v>
      </c>
      <c r="B54" s="5" t="s">
        <v>37</v>
      </c>
      <c r="C54" s="1">
        <v>44795</v>
      </c>
      <c r="D54" s="1">
        <v>41707</v>
      </c>
      <c r="E54" s="1">
        <v>40295</v>
      </c>
      <c r="G54" s="4" t="s">
        <v>47</v>
      </c>
      <c r="H54" s="1">
        <v>32927</v>
      </c>
      <c r="I54" s="1">
        <v>30530</v>
      </c>
      <c r="J54" s="1">
        <v>31419</v>
      </c>
      <c r="K54" s="5" t="s">
        <v>37</v>
      </c>
      <c r="M54" s="4" t="s">
        <v>47</v>
      </c>
      <c r="N54" s="5" t="s">
        <v>37</v>
      </c>
      <c r="O54" s="1">
        <v>28512</v>
      </c>
      <c r="P54" s="1">
        <v>28568</v>
      </c>
      <c r="Q54" s="19" t="s">
        <v>52</v>
      </c>
      <c r="S54" s="4" t="s">
        <v>47</v>
      </c>
      <c r="T54" s="5" t="s">
        <v>37</v>
      </c>
      <c r="U54" s="1">
        <v>46409</v>
      </c>
      <c r="V54" s="1">
        <v>44182</v>
      </c>
      <c r="W54" s="1">
        <v>45496</v>
      </c>
      <c r="Y54" s="4" t="s">
        <v>47</v>
      </c>
      <c r="Z54" s="5" t="s">
        <v>37</v>
      </c>
      <c r="AA54" s="1">
        <v>41241</v>
      </c>
      <c r="AB54" s="1">
        <v>46719</v>
      </c>
      <c r="AC54" s="1">
        <v>40112</v>
      </c>
    </row>
    <row r="55" spans="1:29" ht="15.75" customHeight="1">
      <c r="A55" s="4" t="s">
        <v>48</v>
      </c>
      <c r="B55" s="5" t="s">
        <v>37</v>
      </c>
      <c r="C55" s="1">
        <v>37317</v>
      </c>
      <c r="D55" s="1">
        <v>34723</v>
      </c>
      <c r="E55" s="1">
        <v>37265</v>
      </c>
      <c r="G55" s="4" t="s">
        <v>48</v>
      </c>
      <c r="H55" s="1">
        <v>28369</v>
      </c>
      <c r="I55" s="19" t="s">
        <v>52</v>
      </c>
      <c r="J55" s="1">
        <v>32897</v>
      </c>
      <c r="K55" s="5" t="s">
        <v>37</v>
      </c>
      <c r="M55" s="4" t="s">
        <v>48</v>
      </c>
      <c r="N55" s="5" t="s">
        <v>37</v>
      </c>
      <c r="O55" s="1">
        <v>29678</v>
      </c>
      <c r="P55" s="1">
        <v>25886</v>
      </c>
      <c r="Q55" s="19" t="s">
        <v>52</v>
      </c>
      <c r="S55" s="4" t="s">
        <v>48</v>
      </c>
      <c r="T55" s="5" t="s">
        <v>37</v>
      </c>
      <c r="U55" s="1">
        <v>48247</v>
      </c>
      <c r="V55" s="1">
        <v>42428</v>
      </c>
      <c r="W55" s="1">
        <v>43723</v>
      </c>
      <c r="Y55" s="4" t="s">
        <v>48</v>
      </c>
      <c r="Z55" s="5" t="s">
        <v>37</v>
      </c>
      <c r="AA55" s="1">
        <v>36435</v>
      </c>
      <c r="AB55" s="1">
        <v>40059</v>
      </c>
      <c r="AC55" s="1">
        <v>37742</v>
      </c>
    </row>
    <row r="56" spans="1:29" ht="15.75" customHeight="1">
      <c r="A56" s="4" t="s">
        <v>49</v>
      </c>
      <c r="B56" s="5" t="s">
        <v>37</v>
      </c>
      <c r="C56" s="1">
        <v>81875</v>
      </c>
      <c r="D56" s="1">
        <v>64911</v>
      </c>
      <c r="E56" s="1">
        <v>70405</v>
      </c>
      <c r="G56" s="4" t="s">
        <v>49</v>
      </c>
      <c r="H56" s="1">
        <v>46718</v>
      </c>
      <c r="I56" s="1">
        <v>49721</v>
      </c>
      <c r="J56" s="1">
        <v>64767</v>
      </c>
      <c r="K56" s="5" t="s">
        <v>37</v>
      </c>
      <c r="M56" s="4" t="s">
        <v>49</v>
      </c>
      <c r="N56" s="5" t="s">
        <v>37</v>
      </c>
      <c r="O56" s="1">
        <v>63002</v>
      </c>
      <c r="P56" s="1">
        <v>51922</v>
      </c>
      <c r="Q56" s="1">
        <v>44430</v>
      </c>
      <c r="S56" s="4" t="s">
        <v>49</v>
      </c>
      <c r="T56" s="5" t="s">
        <v>37</v>
      </c>
      <c r="U56" s="1">
        <v>90358</v>
      </c>
      <c r="V56" s="1">
        <v>87770</v>
      </c>
      <c r="W56" s="1">
        <v>92772</v>
      </c>
      <c r="Y56" s="4" t="s">
        <v>49</v>
      </c>
      <c r="Z56" s="5" t="s">
        <v>37</v>
      </c>
      <c r="AA56" s="1">
        <v>89780</v>
      </c>
      <c r="AB56" s="1">
        <v>96386</v>
      </c>
      <c r="AC56" s="1">
        <v>85423</v>
      </c>
    </row>
    <row r="57" spans="1:29" ht="15.75" customHeight="1">
      <c r="A57" s="4" t="s">
        <v>50</v>
      </c>
      <c r="B57" s="5" t="s">
        <v>37</v>
      </c>
      <c r="C57" s="1">
        <v>79771</v>
      </c>
      <c r="D57" s="1">
        <v>66609</v>
      </c>
      <c r="E57" s="1">
        <v>64603</v>
      </c>
      <c r="G57" s="4" t="s">
        <v>50</v>
      </c>
      <c r="H57" s="1">
        <v>51412</v>
      </c>
      <c r="I57" s="1">
        <v>49868</v>
      </c>
      <c r="J57" s="1">
        <v>71166</v>
      </c>
      <c r="K57" s="5" t="s">
        <v>37</v>
      </c>
      <c r="M57" s="4" t="s">
        <v>50</v>
      </c>
      <c r="N57" s="5" t="s">
        <v>37</v>
      </c>
      <c r="O57" s="1">
        <v>58072</v>
      </c>
      <c r="P57" s="1">
        <v>43924</v>
      </c>
      <c r="Q57" s="1">
        <v>38324</v>
      </c>
      <c r="S57" s="4" t="s">
        <v>50</v>
      </c>
      <c r="T57" s="5" t="s">
        <v>37</v>
      </c>
      <c r="U57" s="1">
        <v>91189</v>
      </c>
      <c r="V57" s="1">
        <v>85277</v>
      </c>
      <c r="W57" s="1">
        <v>92023</v>
      </c>
      <c r="Y57" s="4" t="s">
        <v>50</v>
      </c>
      <c r="Z57" s="5" t="s">
        <v>37</v>
      </c>
      <c r="AA57" s="1">
        <v>85055</v>
      </c>
      <c r="AB57" s="1">
        <v>93702</v>
      </c>
      <c r="AC57" s="1">
        <v>85703</v>
      </c>
    </row>
    <row r="58" spans="1:29" ht="15.75" customHeight="1">
      <c r="A58" s="4" t="s">
        <v>51</v>
      </c>
      <c r="B58" s="5" t="s">
        <v>37</v>
      </c>
      <c r="C58" s="1">
        <v>74647</v>
      </c>
      <c r="D58" s="1">
        <v>67831</v>
      </c>
      <c r="E58" s="1">
        <v>68802</v>
      </c>
      <c r="G58" s="4" t="s">
        <v>51</v>
      </c>
      <c r="H58" s="1">
        <v>51762</v>
      </c>
      <c r="I58" s="1">
        <v>53511</v>
      </c>
      <c r="J58" s="1">
        <v>59412</v>
      </c>
      <c r="K58" s="5" t="s">
        <v>37</v>
      </c>
      <c r="M58" s="4" t="s">
        <v>51</v>
      </c>
      <c r="N58" s="5" t="s">
        <v>37</v>
      </c>
      <c r="O58" s="1">
        <v>54525</v>
      </c>
      <c r="P58" s="1">
        <v>43728</v>
      </c>
      <c r="Q58" s="1">
        <v>33882</v>
      </c>
      <c r="S58" s="4" t="s">
        <v>51</v>
      </c>
      <c r="T58" s="5" t="s">
        <v>37</v>
      </c>
      <c r="U58" s="1">
        <v>84132</v>
      </c>
      <c r="V58" s="1">
        <v>80175</v>
      </c>
      <c r="W58" s="1">
        <v>89854</v>
      </c>
      <c r="Y58" s="4" t="s">
        <v>51</v>
      </c>
      <c r="Z58" s="5" t="s">
        <v>37</v>
      </c>
      <c r="AA58" s="1">
        <v>74865</v>
      </c>
      <c r="AB58" s="1">
        <v>93521</v>
      </c>
      <c r="AC58" s="1">
        <v>81993</v>
      </c>
    </row>
    <row r="59" spans="1:29" ht="15.75" customHeight="1"/>
    <row r="60" spans="1:29" ht="15.75" customHeight="1">
      <c r="A60" s="1" t="s">
        <v>40</v>
      </c>
      <c r="G60" s="1" t="s">
        <v>40</v>
      </c>
      <c r="M60" s="1" t="s">
        <v>40</v>
      </c>
      <c r="S60" s="1" t="s">
        <v>40</v>
      </c>
      <c r="Y60" s="1" t="s">
        <v>40</v>
      </c>
    </row>
    <row r="61" spans="1:29" ht="15.75" customHeight="1">
      <c r="A61" s="4" t="s">
        <v>45</v>
      </c>
      <c r="B61" s="4">
        <v>21</v>
      </c>
      <c r="C61" s="4">
        <v>22</v>
      </c>
      <c r="D61" s="4">
        <v>23</v>
      </c>
      <c r="E61" s="4">
        <v>24</v>
      </c>
      <c r="G61" s="4" t="s">
        <v>45</v>
      </c>
      <c r="H61" s="4">
        <v>17</v>
      </c>
      <c r="I61" s="4">
        <v>18</v>
      </c>
      <c r="J61" s="4">
        <v>19</v>
      </c>
      <c r="K61" s="4">
        <v>20</v>
      </c>
      <c r="M61" s="4" t="s">
        <v>45</v>
      </c>
      <c r="N61" s="4">
        <v>13</v>
      </c>
      <c r="O61" s="4">
        <v>14</v>
      </c>
      <c r="P61" s="4">
        <v>15</v>
      </c>
      <c r="Q61" s="4">
        <v>16</v>
      </c>
      <c r="S61" s="4" t="s">
        <v>45</v>
      </c>
      <c r="T61" s="4">
        <v>9</v>
      </c>
      <c r="U61" s="4">
        <v>10</v>
      </c>
      <c r="V61" s="4">
        <v>11</v>
      </c>
      <c r="W61" s="4">
        <v>12</v>
      </c>
      <c r="Y61" s="4" t="s">
        <v>45</v>
      </c>
      <c r="Z61" s="4">
        <v>5</v>
      </c>
      <c r="AA61" s="4">
        <v>6</v>
      </c>
      <c r="AB61" s="4">
        <v>7</v>
      </c>
      <c r="AC61" s="4">
        <v>8</v>
      </c>
    </row>
    <row r="62" spans="1:29" ht="15.75" customHeight="1">
      <c r="A62" s="4" t="s">
        <v>46</v>
      </c>
      <c r="B62" s="5">
        <v>18503</v>
      </c>
      <c r="C62" s="1">
        <v>34187</v>
      </c>
      <c r="D62" s="1">
        <v>34121</v>
      </c>
      <c r="E62" s="1">
        <v>35140</v>
      </c>
      <c r="G62" s="4" t="s">
        <v>46</v>
      </c>
      <c r="H62" s="1">
        <v>35761</v>
      </c>
      <c r="I62" s="1">
        <v>35603</v>
      </c>
      <c r="J62" s="1">
        <v>34338</v>
      </c>
      <c r="K62" s="5">
        <v>22584</v>
      </c>
      <c r="M62" s="4" t="s">
        <v>46</v>
      </c>
      <c r="N62" s="5">
        <v>21472</v>
      </c>
      <c r="O62" s="1">
        <v>30742</v>
      </c>
      <c r="P62" s="1">
        <v>33226</v>
      </c>
      <c r="Q62" s="1">
        <v>32546</v>
      </c>
      <c r="S62" s="4" t="s">
        <v>46</v>
      </c>
      <c r="T62" s="5">
        <v>14466</v>
      </c>
      <c r="U62" s="1">
        <v>30573</v>
      </c>
      <c r="V62" s="1">
        <v>30592</v>
      </c>
      <c r="W62" s="1">
        <v>33647</v>
      </c>
      <c r="Y62" s="4" t="s">
        <v>46</v>
      </c>
      <c r="Z62" s="5">
        <v>14345</v>
      </c>
      <c r="AA62" s="1">
        <v>30865</v>
      </c>
      <c r="AB62" s="1">
        <v>29692</v>
      </c>
      <c r="AC62" s="1">
        <v>29718</v>
      </c>
    </row>
    <row r="63" spans="1:29" ht="15.75" customHeight="1">
      <c r="A63" s="4" t="s">
        <v>47</v>
      </c>
      <c r="B63" s="5">
        <v>18671</v>
      </c>
      <c r="C63" s="1">
        <v>33626</v>
      </c>
      <c r="D63" s="1">
        <v>35563</v>
      </c>
      <c r="E63" s="1">
        <v>34930</v>
      </c>
      <c r="G63" s="4" t="s">
        <v>47</v>
      </c>
      <c r="H63" s="1">
        <v>35768</v>
      </c>
      <c r="I63" s="1">
        <v>34844</v>
      </c>
      <c r="J63" s="1">
        <v>32609</v>
      </c>
      <c r="K63" s="5">
        <v>22789</v>
      </c>
      <c r="M63" s="4" t="s">
        <v>47</v>
      </c>
      <c r="N63" s="5">
        <v>20913</v>
      </c>
      <c r="O63" s="1">
        <v>29345</v>
      </c>
      <c r="P63" s="1">
        <v>32527</v>
      </c>
      <c r="Q63" s="1">
        <v>32046</v>
      </c>
      <c r="S63" s="4" t="s">
        <v>47</v>
      </c>
      <c r="T63" s="5">
        <v>14214</v>
      </c>
      <c r="U63" s="1">
        <v>28903</v>
      </c>
      <c r="V63" s="1">
        <v>30020</v>
      </c>
      <c r="W63" s="1">
        <v>31227</v>
      </c>
      <c r="Y63" s="4" t="s">
        <v>47</v>
      </c>
      <c r="Z63" s="5">
        <v>13918</v>
      </c>
      <c r="AA63" s="1">
        <v>27088</v>
      </c>
      <c r="AB63" s="1">
        <v>29941</v>
      </c>
      <c r="AC63" s="1">
        <v>28209</v>
      </c>
    </row>
    <row r="64" spans="1:29" ht="15.75" customHeight="1">
      <c r="A64" s="4" t="s">
        <v>48</v>
      </c>
      <c r="B64" s="5">
        <v>18808</v>
      </c>
      <c r="C64" s="1">
        <v>31213</v>
      </c>
      <c r="D64" s="1">
        <v>32496</v>
      </c>
      <c r="E64" s="1">
        <v>33415</v>
      </c>
      <c r="G64" s="4" t="s">
        <v>48</v>
      </c>
      <c r="H64" s="1">
        <v>34436</v>
      </c>
      <c r="I64" s="1">
        <v>31660</v>
      </c>
      <c r="J64" s="1">
        <v>33248</v>
      </c>
      <c r="K64" s="5">
        <v>22779</v>
      </c>
      <c r="M64" s="4" t="s">
        <v>48</v>
      </c>
      <c r="N64" s="5">
        <v>21362</v>
      </c>
      <c r="O64" s="1">
        <v>30334</v>
      </c>
      <c r="P64" s="1">
        <v>31647</v>
      </c>
      <c r="Q64" s="1">
        <v>31010</v>
      </c>
      <c r="S64" s="4" t="s">
        <v>48</v>
      </c>
      <c r="T64" s="5">
        <v>14192</v>
      </c>
      <c r="U64" s="1">
        <v>29665</v>
      </c>
      <c r="V64" s="1">
        <v>29168</v>
      </c>
      <c r="W64" s="1">
        <v>30255</v>
      </c>
      <c r="Y64" s="4" t="s">
        <v>48</v>
      </c>
      <c r="Z64" s="5">
        <v>13650</v>
      </c>
      <c r="AA64" s="1">
        <v>25472</v>
      </c>
      <c r="AB64" s="1">
        <v>27372</v>
      </c>
      <c r="AC64" s="1">
        <v>27531</v>
      </c>
    </row>
    <row r="65" spans="1:29" ht="15.75" customHeight="1">
      <c r="A65" s="4" t="s">
        <v>49</v>
      </c>
      <c r="B65" s="5">
        <v>19253</v>
      </c>
      <c r="C65" s="1">
        <v>43155</v>
      </c>
      <c r="D65" s="1">
        <v>42968</v>
      </c>
      <c r="E65" s="1">
        <v>44097</v>
      </c>
      <c r="G65" s="4" t="s">
        <v>49</v>
      </c>
      <c r="H65" s="1">
        <v>42261</v>
      </c>
      <c r="I65" s="1">
        <v>43110</v>
      </c>
      <c r="J65" s="1">
        <v>42460</v>
      </c>
      <c r="K65" s="5">
        <v>23390</v>
      </c>
      <c r="M65" s="4" t="s">
        <v>49</v>
      </c>
      <c r="N65" s="5">
        <v>21556</v>
      </c>
      <c r="O65" s="1">
        <v>39610</v>
      </c>
      <c r="P65" s="1">
        <v>42915</v>
      </c>
      <c r="Q65" s="1">
        <v>39927</v>
      </c>
      <c r="S65" s="4" t="s">
        <v>49</v>
      </c>
      <c r="T65" s="5">
        <v>14195</v>
      </c>
      <c r="U65" s="1">
        <v>41637</v>
      </c>
      <c r="V65" s="1">
        <v>40898</v>
      </c>
      <c r="W65" s="1">
        <v>42218</v>
      </c>
      <c r="Y65" s="4" t="s">
        <v>49</v>
      </c>
      <c r="Z65" s="5">
        <v>13463</v>
      </c>
      <c r="AA65" s="1">
        <v>41704</v>
      </c>
      <c r="AB65" s="1">
        <v>42669</v>
      </c>
      <c r="AC65" s="1">
        <v>40053</v>
      </c>
    </row>
    <row r="66" spans="1:29" ht="15.75" customHeight="1">
      <c r="A66" s="4" t="s">
        <v>50</v>
      </c>
      <c r="B66" s="5">
        <v>19109</v>
      </c>
      <c r="C66" s="1">
        <v>43197</v>
      </c>
      <c r="D66" s="1">
        <v>43701</v>
      </c>
      <c r="E66" s="1">
        <v>42123</v>
      </c>
      <c r="G66" s="4" t="s">
        <v>50</v>
      </c>
      <c r="H66" s="1">
        <v>43676</v>
      </c>
      <c r="I66" s="1">
        <v>43070</v>
      </c>
      <c r="J66" s="1">
        <v>44130</v>
      </c>
      <c r="K66" s="5">
        <v>23135</v>
      </c>
      <c r="M66" s="4" t="s">
        <v>50</v>
      </c>
      <c r="N66" s="5">
        <v>21242</v>
      </c>
      <c r="O66" s="1">
        <v>38129</v>
      </c>
      <c r="P66" s="1">
        <v>39130</v>
      </c>
      <c r="Q66" s="1">
        <v>36423</v>
      </c>
      <c r="S66" s="4" t="s">
        <v>50</v>
      </c>
      <c r="T66" s="5">
        <v>14586</v>
      </c>
      <c r="U66" s="1">
        <v>42902</v>
      </c>
      <c r="V66" s="1">
        <v>40186</v>
      </c>
      <c r="W66" s="1">
        <v>41762</v>
      </c>
      <c r="Y66" s="4" t="s">
        <v>50</v>
      </c>
      <c r="Z66" s="5">
        <v>14078</v>
      </c>
      <c r="AA66" s="1">
        <v>40264</v>
      </c>
      <c r="AB66" s="1">
        <v>42373</v>
      </c>
      <c r="AC66" s="1">
        <v>39924</v>
      </c>
    </row>
    <row r="67" spans="1:29" ht="15.75" customHeight="1">
      <c r="A67" s="4" t="s">
        <v>51</v>
      </c>
      <c r="B67" s="5">
        <v>18871</v>
      </c>
      <c r="C67" s="1">
        <v>41705</v>
      </c>
      <c r="D67" s="1">
        <v>43334</v>
      </c>
      <c r="E67" s="1">
        <v>43177</v>
      </c>
      <c r="G67" s="4" t="s">
        <v>51</v>
      </c>
      <c r="H67" s="1">
        <v>44008</v>
      </c>
      <c r="I67" s="1">
        <v>44265</v>
      </c>
      <c r="J67" s="1">
        <v>39943</v>
      </c>
      <c r="K67" s="5">
        <v>22897</v>
      </c>
      <c r="M67" s="4" t="s">
        <v>51</v>
      </c>
      <c r="N67" s="5">
        <v>21289</v>
      </c>
      <c r="O67" s="1">
        <v>37118</v>
      </c>
      <c r="P67" s="1">
        <v>39575</v>
      </c>
      <c r="Q67" s="1">
        <v>34857</v>
      </c>
      <c r="S67" s="4" t="s">
        <v>51</v>
      </c>
      <c r="T67" s="5">
        <v>13896</v>
      </c>
      <c r="U67" s="1">
        <v>40082</v>
      </c>
      <c r="V67" s="1">
        <v>38345</v>
      </c>
      <c r="W67" s="1">
        <v>41482</v>
      </c>
      <c r="Y67" s="4" t="s">
        <v>51</v>
      </c>
      <c r="Z67" s="5">
        <v>13977</v>
      </c>
      <c r="AA67" s="1">
        <v>36851</v>
      </c>
      <c r="AB67" s="1">
        <v>43046</v>
      </c>
      <c r="AC67" s="1">
        <v>38717</v>
      </c>
    </row>
    <row r="68" spans="1:29" ht="15.75" customHeight="1"/>
    <row r="69" spans="1:29" ht="15.75" customHeight="1">
      <c r="A69" s="1" t="s">
        <v>41</v>
      </c>
      <c r="G69" s="1" t="s">
        <v>41</v>
      </c>
      <c r="M69" s="1" t="s">
        <v>41</v>
      </c>
      <c r="S69" s="1" t="s">
        <v>41</v>
      </c>
      <c r="Y69" s="1" t="s">
        <v>41</v>
      </c>
    </row>
    <row r="70" spans="1:29" ht="15.75" customHeight="1">
      <c r="A70" s="4" t="s">
        <v>45</v>
      </c>
      <c r="B70" s="4">
        <v>21</v>
      </c>
      <c r="C70" s="4">
        <v>22</v>
      </c>
      <c r="D70" s="4">
        <v>23</v>
      </c>
      <c r="E70" s="4">
        <v>24</v>
      </c>
      <c r="G70" s="4" t="s">
        <v>45</v>
      </c>
      <c r="H70" s="4">
        <v>17</v>
      </c>
      <c r="I70" s="4">
        <v>18</v>
      </c>
      <c r="J70" s="4">
        <v>19</v>
      </c>
      <c r="K70" s="4">
        <v>20</v>
      </c>
      <c r="M70" s="4" t="s">
        <v>45</v>
      </c>
      <c r="N70" s="4">
        <v>13</v>
      </c>
      <c r="O70" s="4">
        <v>14</v>
      </c>
      <c r="P70" s="4">
        <v>15</v>
      </c>
      <c r="Q70" s="4">
        <v>16</v>
      </c>
      <c r="S70" s="4" t="s">
        <v>45</v>
      </c>
      <c r="T70" s="4">
        <v>9</v>
      </c>
      <c r="U70" s="4">
        <v>10</v>
      </c>
      <c r="V70" s="4">
        <v>11</v>
      </c>
      <c r="W70" s="4">
        <v>12</v>
      </c>
      <c r="Y70" s="4" t="s">
        <v>45</v>
      </c>
      <c r="Z70" s="4">
        <v>5</v>
      </c>
      <c r="AA70" s="4">
        <v>6</v>
      </c>
      <c r="AB70" s="4">
        <v>7</v>
      </c>
      <c r="AC70" s="4">
        <v>8</v>
      </c>
    </row>
    <row r="71" spans="1:29" ht="15.75" customHeight="1">
      <c r="A71" s="4" t="s">
        <v>46</v>
      </c>
      <c r="B71" s="5">
        <v>7972</v>
      </c>
      <c r="C71" s="1">
        <v>21906</v>
      </c>
      <c r="D71" s="1">
        <v>18455</v>
      </c>
      <c r="E71" s="1">
        <v>18258</v>
      </c>
      <c r="G71" s="4" t="s">
        <v>46</v>
      </c>
      <c r="H71" s="1">
        <v>18317</v>
      </c>
      <c r="I71" s="1">
        <v>18479</v>
      </c>
      <c r="J71" s="1">
        <v>20843</v>
      </c>
      <c r="K71" s="5">
        <v>9682</v>
      </c>
      <c r="M71" s="4" t="s">
        <v>46</v>
      </c>
      <c r="N71" s="5">
        <v>9255</v>
      </c>
      <c r="O71" s="1">
        <v>19436</v>
      </c>
      <c r="P71" s="1">
        <v>17441</v>
      </c>
      <c r="Q71" s="1">
        <v>17033</v>
      </c>
      <c r="S71" s="4" t="s">
        <v>46</v>
      </c>
      <c r="T71" s="5">
        <v>5686</v>
      </c>
      <c r="U71" s="1">
        <v>20951</v>
      </c>
      <c r="V71" s="1">
        <v>19336</v>
      </c>
      <c r="W71" s="1">
        <v>20071</v>
      </c>
      <c r="Y71" s="4" t="s">
        <v>46</v>
      </c>
      <c r="Z71" s="5">
        <v>5275</v>
      </c>
      <c r="AA71" s="1">
        <v>21370</v>
      </c>
      <c r="AB71" s="1">
        <v>19943</v>
      </c>
      <c r="AC71" s="1">
        <v>17896</v>
      </c>
    </row>
    <row r="72" spans="1:29" ht="15.75" customHeight="1">
      <c r="A72" s="4" t="s">
        <v>47</v>
      </c>
      <c r="B72" s="5">
        <v>7869</v>
      </c>
      <c r="C72" s="1">
        <v>21605</v>
      </c>
      <c r="D72" s="1">
        <v>18897</v>
      </c>
      <c r="E72" s="1">
        <v>18571</v>
      </c>
      <c r="G72" s="4" t="s">
        <v>47</v>
      </c>
      <c r="H72" s="1">
        <v>18443</v>
      </c>
      <c r="I72" s="1">
        <v>17800</v>
      </c>
      <c r="J72" s="1">
        <v>19588</v>
      </c>
      <c r="K72" s="5">
        <v>9654</v>
      </c>
      <c r="M72" s="4" t="s">
        <v>47</v>
      </c>
      <c r="N72" s="5">
        <v>9013</v>
      </c>
      <c r="O72" s="1">
        <v>18638</v>
      </c>
      <c r="P72" s="1">
        <v>16753</v>
      </c>
      <c r="Q72" s="1">
        <v>15146</v>
      </c>
      <c r="S72" s="4" t="s">
        <v>47</v>
      </c>
      <c r="T72" s="5">
        <v>5503</v>
      </c>
      <c r="U72" s="1">
        <v>19962</v>
      </c>
      <c r="V72" s="1">
        <v>18176</v>
      </c>
      <c r="W72" s="1">
        <v>18108</v>
      </c>
      <c r="Y72" s="4" t="s">
        <v>47</v>
      </c>
      <c r="Z72" s="5">
        <v>5372</v>
      </c>
      <c r="AA72" s="1">
        <v>18037</v>
      </c>
      <c r="AB72" s="1">
        <v>19062</v>
      </c>
      <c r="AC72" s="1">
        <v>16800</v>
      </c>
    </row>
    <row r="73" spans="1:29" ht="15.75" customHeight="1">
      <c r="A73" s="4" t="s">
        <v>48</v>
      </c>
      <c r="B73" s="5">
        <v>8146</v>
      </c>
      <c r="C73" s="1">
        <v>19317</v>
      </c>
      <c r="D73" s="1">
        <v>17248</v>
      </c>
      <c r="E73" s="1">
        <v>17967</v>
      </c>
      <c r="G73" s="4" t="s">
        <v>48</v>
      </c>
      <c r="H73" s="1">
        <v>16965</v>
      </c>
      <c r="I73" s="1">
        <v>16309</v>
      </c>
      <c r="J73" s="1">
        <v>19943</v>
      </c>
      <c r="K73" s="5">
        <v>9780</v>
      </c>
      <c r="M73" s="4" t="s">
        <v>48</v>
      </c>
      <c r="N73" s="5">
        <v>9173</v>
      </c>
      <c r="O73" s="1">
        <v>18626</v>
      </c>
      <c r="P73" s="1">
        <v>15941</v>
      </c>
      <c r="Q73" s="1">
        <v>15031</v>
      </c>
      <c r="S73" s="4" t="s">
        <v>48</v>
      </c>
      <c r="T73" s="5">
        <v>5467</v>
      </c>
      <c r="U73" s="1">
        <v>20422</v>
      </c>
      <c r="V73" s="1">
        <v>17811</v>
      </c>
      <c r="W73" s="1">
        <v>17806</v>
      </c>
      <c r="Y73" s="4" t="s">
        <v>48</v>
      </c>
      <c r="Z73" s="5">
        <v>5216</v>
      </c>
      <c r="AA73" s="1">
        <v>16606</v>
      </c>
      <c r="AB73" s="1">
        <v>17276</v>
      </c>
      <c r="AC73" s="1">
        <v>16022</v>
      </c>
    </row>
    <row r="74" spans="1:29" ht="15.75" customHeight="1">
      <c r="A74" s="4" t="s">
        <v>49</v>
      </c>
      <c r="B74" s="5">
        <v>8129</v>
      </c>
      <c r="C74" s="1">
        <v>34418</v>
      </c>
      <c r="D74" s="1">
        <v>26048</v>
      </c>
      <c r="E74" s="1">
        <v>28117</v>
      </c>
      <c r="G74" s="4" t="s">
        <v>49</v>
      </c>
      <c r="H74" s="1">
        <v>21436</v>
      </c>
      <c r="I74" s="1">
        <v>22428</v>
      </c>
      <c r="J74" s="1">
        <v>30341</v>
      </c>
      <c r="K74" s="5">
        <v>9754</v>
      </c>
      <c r="M74" s="4" t="s">
        <v>49</v>
      </c>
      <c r="N74" s="5">
        <v>9326</v>
      </c>
      <c r="O74" s="1">
        <v>29713</v>
      </c>
      <c r="P74" s="1">
        <v>22187</v>
      </c>
      <c r="Q74" s="1">
        <v>20236</v>
      </c>
      <c r="S74" s="4" t="s">
        <v>49</v>
      </c>
      <c r="T74" s="5">
        <v>5421</v>
      </c>
      <c r="U74" s="1">
        <v>34282</v>
      </c>
      <c r="V74" s="1">
        <v>33432</v>
      </c>
      <c r="W74" s="1">
        <v>35141</v>
      </c>
      <c r="Y74" s="4" t="s">
        <v>49</v>
      </c>
      <c r="Z74" s="5">
        <v>5315</v>
      </c>
      <c r="AA74" s="1">
        <v>33523</v>
      </c>
      <c r="AB74" s="1">
        <v>36246</v>
      </c>
      <c r="AC74" s="1">
        <v>32337</v>
      </c>
    </row>
    <row r="75" spans="1:29" ht="15.75" customHeight="1">
      <c r="A75" s="4" t="s">
        <v>50</v>
      </c>
      <c r="B75" s="5">
        <v>8198</v>
      </c>
      <c r="C75" s="1">
        <v>33341</v>
      </c>
      <c r="D75" s="1">
        <v>26457</v>
      </c>
      <c r="E75" s="1">
        <v>26403</v>
      </c>
      <c r="G75" s="4" t="s">
        <v>50</v>
      </c>
      <c r="H75" s="1">
        <v>22933</v>
      </c>
      <c r="I75" s="1">
        <v>22525</v>
      </c>
      <c r="J75" s="1">
        <v>32537</v>
      </c>
      <c r="K75" s="5">
        <v>9778</v>
      </c>
      <c r="M75" s="4" t="s">
        <v>50</v>
      </c>
      <c r="N75" s="5">
        <v>9338</v>
      </c>
      <c r="O75" s="1">
        <v>28139</v>
      </c>
      <c r="P75" s="1">
        <v>20463</v>
      </c>
      <c r="Q75" s="1">
        <v>19289</v>
      </c>
      <c r="S75" s="4" t="s">
        <v>50</v>
      </c>
      <c r="T75" s="5">
        <v>5699</v>
      </c>
      <c r="U75" s="1">
        <v>33938</v>
      </c>
      <c r="V75" s="1">
        <v>32614</v>
      </c>
      <c r="W75" s="1">
        <v>35040</v>
      </c>
      <c r="Y75" s="4" t="s">
        <v>50</v>
      </c>
      <c r="Z75" s="5">
        <v>5497</v>
      </c>
      <c r="AA75" s="1">
        <v>32026</v>
      </c>
      <c r="AB75" s="1">
        <v>35082</v>
      </c>
      <c r="AC75" s="1">
        <v>32554</v>
      </c>
    </row>
    <row r="76" spans="1:29" ht="15.75" customHeight="1">
      <c r="A76" s="4" t="s">
        <v>51</v>
      </c>
      <c r="B76" s="5">
        <v>8145</v>
      </c>
      <c r="C76" s="1">
        <v>31676</v>
      </c>
      <c r="D76" s="1">
        <v>27289</v>
      </c>
      <c r="E76" s="1">
        <v>27869</v>
      </c>
      <c r="G76" s="4" t="s">
        <v>51</v>
      </c>
      <c r="H76" s="1">
        <v>22908</v>
      </c>
      <c r="I76" s="1">
        <v>23628</v>
      </c>
      <c r="J76" s="1">
        <v>29177</v>
      </c>
      <c r="K76" s="5">
        <v>9528</v>
      </c>
      <c r="M76" s="4" t="s">
        <v>51</v>
      </c>
      <c r="N76" s="5">
        <v>9173</v>
      </c>
      <c r="O76" s="1">
        <v>26972</v>
      </c>
      <c r="P76" s="1">
        <v>20097</v>
      </c>
      <c r="Q76" s="1">
        <v>18010</v>
      </c>
      <c r="S76" s="4" t="s">
        <v>51</v>
      </c>
      <c r="T76" s="5">
        <v>5574</v>
      </c>
      <c r="U76" s="1">
        <v>32104</v>
      </c>
      <c r="V76" s="1">
        <v>31170</v>
      </c>
      <c r="W76" s="1">
        <v>34123</v>
      </c>
      <c r="Y76" s="4" t="s">
        <v>51</v>
      </c>
      <c r="Z76" s="5">
        <v>5365</v>
      </c>
      <c r="AA76" s="1">
        <v>28982</v>
      </c>
      <c r="AB76" s="1">
        <v>34587</v>
      </c>
      <c r="AC76" s="1">
        <v>31425</v>
      </c>
    </row>
    <row r="77" spans="1:29" ht="15.75" customHeight="1"/>
    <row r="78" spans="1:29" ht="15.75" customHeight="1"/>
    <row r="79" spans="1:29" ht="15.75" customHeight="1"/>
    <row r="80" spans="1:2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6D3C-8296-274F-A281-FDEF10276902}">
  <dimension ref="A1:AD72"/>
  <sheetViews>
    <sheetView workbookViewId="0">
      <selection activeCell="N81" sqref="N81"/>
    </sheetView>
  </sheetViews>
  <sheetFormatPr baseColWidth="10" defaultRowHeight="16"/>
  <cols>
    <col min="1" max="16384" width="10.83203125" style="6"/>
  </cols>
  <sheetData>
    <row r="1" spans="1:30">
      <c r="A1" s="6" t="s">
        <v>73</v>
      </c>
    </row>
    <row r="2" spans="1:30">
      <c r="A2" s="6" t="s">
        <v>71</v>
      </c>
      <c r="B2" s="6" t="s">
        <v>72</v>
      </c>
      <c r="C2" s="6">
        <v>1.3</v>
      </c>
      <c r="D2" s="6" t="s">
        <v>69</v>
      </c>
      <c r="E2" s="6" t="s">
        <v>68</v>
      </c>
      <c r="F2" s="6" t="s">
        <v>67</v>
      </c>
      <c r="G2" s="6" t="s">
        <v>66</v>
      </c>
      <c r="H2" s="6" t="b">
        <v>0</v>
      </c>
      <c r="I2" s="6">
        <v>1</v>
      </c>
      <c r="O2" s="6">
        <v>1</v>
      </c>
      <c r="Q2" s="6">
        <v>1</v>
      </c>
      <c r="R2" s="6">
        <v>23</v>
      </c>
      <c r="S2" s="6">
        <v>384</v>
      </c>
      <c r="T2" s="6">
        <v>485</v>
      </c>
      <c r="U2" s="6" t="s">
        <v>65</v>
      </c>
      <c r="Y2" s="6">
        <v>0</v>
      </c>
      <c r="AC2" s="6">
        <v>1</v>
      </c>
      <c r="AD2" s="6">
        <v>6</v>
      </c>
    </row>
    <row r="3" spans="1:30"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</row>
    <row r="4" spans="1:30">
      <c r="C4" s="6">
        <v>-785.24743230625904</v>
      </c>
      <c r="D4" s="6">
        <v>149.234328176487</v>
      </c>
      <c r="E4" s="6">
        <v>264.01779924076402</v>
      </c>
      <c r="F4" s="6">
        <v>195.44553188767301</v>
      </c>
      <c r="G4" s="6">
        <v>170.953617991779</v>
      </c>
      <c r="H4" s="6">
        <v>151.40563179423</v>
      </c>
      <c r="I4" s="6">
        <v>192.931365787061</v>
      </c>
      <c r="J4" s="6">
        <v>208.73017780234201</v>
      </c>
      <c r="K4" s="6">
        <v>200.81529703755601</v>
      </c>
      <c r="L4" s="6">
        <v>272.894666396471</v>
      </c>
      <c r="M4" s="6">
        <v>262.38486994788798</v>
      </c>
      <c r="N4" s="6">
        <v>244.887179528014</v>
      </c>
      <c r="O4" s="6">
        <v>211.30221693452799</v>
      </c>
      <c r="P4" s="6">
        <v>246.066820317392</v>
      </c>
      <c r="Q4" s="6">
        <v>257.41090453201002</v>
      </c>
      <c r="R4" s="6">
        <v>226.933356234076</v>
      </c>
      <c r="S4" s="6">
        <v>305.59306656591099</v>
      </c>
      <c r="T4" s="6">
        <v>293.89150455612702</v>
      </c>
      <c r="U4" s="6">
        <v>265.50344334266998</v>
      </c>
      <c r="V4" s="6">
        <v>261.400139041165</v>
      </c>
      <c r="W4" s="6">
        <v>340.471341546747</v>
      </c>
      <c r="X4" s="6">
        <v>315.736239058639</v>
      </c>
      <c r="Y4" s="6">
        <v>270.71312173371302</v>
      </c>
      <c r="Z4" s="6" t="s">
        <v>64</v>
      </c>
    </row>
    <row r="5" spans="1:30">
      <c r="C5" s="6">
        <v>6398.3739837397898</v>
      </c>
      <c r="D5" s="6">
        <v>77.772983578021794</v>
      </c>
      <c r="E5" s="6">
        <v>247.43119613304501</v>
      </c>
      <c r="F5" s="6">
        <v>156.91413665174201</v>
      </c>
      <c r="G5" s="6">
        <v>182.10658011806601</v>
      </c>
      <c r="H5" s="6">
        <v>173.08576612853099</v>
      </c>
      <c r="I5" s="6">
        <v>185.88766162123201</v>
      </c>
      <c r="J5" s="6">
        <v>251.78445976183801</v>
      </c>
      <c r="K5" s="6">
        <v>225.27196196620201</v>
      </c>
      <c r="L5" s="6">
        <v>263.89091930098101</v>
      </c>
      <c r="M5" s="6">
        <v>233.016722532328</v>
      </c>
      <c r="N5" s="6">
        <v>214.12118300629399</v>
      </c>
      <c r="O5" s="6">
        <v>219.294681460644</v>
      </c>
      <c r="P5" s="6">
        <v>243.60417458303101</v>
      </c>
      <c r="Q5" s="6">
        <v>224.37599512138399</v>
      </c>
      <c r="R5" s="6">
        <v>241.92223471071301</v>
      </c>
      <c r="S5" s="6">
        <v>301.18943255733399</v>
      </c>
      <c r="T5" s="6">
        <v>302.93524268213901</v>
      </c>
      <c r="U5" s="6">
        <v>242.826095753619</v>
      </c>
      <c r="V5" s="6">
        <v>243.04228247218799</v>
      </c>
      <c r="W5" s="6">
        <v>312.35880670032702</v>
      </c>
      <c r="X5" s="6">
        <v>311.78441921448302</v>
      </c>
      <c r="Y5" s="6">
        <v>308.47395193400502</v>
      </c>
      <c r="Z5" s="6" t="s">
        <v>64</v>
      </c>
    </row>
    <row r="6" spans="1:30">
      <c r="C6" s="6">
        <v>-1604.8906048905901</v>
      </c>
      <c r="D6" s="6">
        <v>120.039046270637</v>
      </c>
      <c r="E6" s="6">
        <v>263.09048533889398</v>
      </c>
      <c r="F6" s="6">
        <v>216.46416097687401</v>
      </c>
      <c r="G6" s="6">
        <v>183.207109608049</v>
      </c>
      <c r="H6" s="6">
        <v>172.41513103491701</v>
      </c>
      <c r="I6" s="6">
        <v>232.967714675791</v>
      </c>
      <c r="J6" s="6">
        <v>223.517014054822</v>
      </c>
      <c r="K6" s="6">
        <v>212.23788277984499</v>
      </c>
      <c r="L6" s="6">
        <v>291.48682423436901</v>
      </c>
      <c r="M6" s="6">
        <v>231.42527834872001</v>
      </c>
      <c r="N6" s="6">
        <v>206.03747483356099</v>
      </c>
      <c r="O6" s="6">
        <v>207.22068156088</v>
      </c>
      <c r="P6" s="6">
        <v>229.39195383890501</v>
      </c>
      <c r="Q6" s="6">
        <v>256.30008019887401</v>
      </c>
      <c r="R6" s="6">
        <v>243.501663239891</v>
      </c>
      <c r="S6" s="6">
        <v>319.94092464472499</v>
      </c>
      <c r="T6" s="6">
        <v>279.42398887229501</v>
      </c>
      <c r="U6" s="6">
        <v>292.31577796847</v>
      </c>
      <c r="V6" s="6">
        <v>255.88600210650401</v>
      </c>
      <c r="W6" s="6">
        <v>345.77097314211898</v>
      </c>
      <c r="X6" s="6">
        <v>323.854949761949</v>
      </c>
      <c r="Y6" s="6">
        <v>308.58625970819099</v>
      </c>
      <c r="Z6" s="6" t="s">
        <v>64</v>
      </c>
    </row>
    <row r="7" spans="1:30">
      <c r="C7" s="6">
        <v>10848.184818481801</v>
      </c>
      <c r="D7" s="6">
        <v>38.672459609271897</v>
      </c>
      <c r="E7" s="6">
        <v>159.13764213715999</v>
      </c>
      <c r="F7" s="6">
        <v>57.322598727950599</v>
      </c>
      <c r="G7" s="6">
        <v>39.139894053156297</v>
      </c>
      <c r="H7" s="6">
        <v>41.019812133449001</v>
      </c>
      <c r="I7" s="6">
        <v>51.501956265317702</v>
      </c>
      <c r="J7" s="6">
        <v>40.881602899312398</v>
      </c>
      <c r="K7" s="6">
        <v>49.121712136030403</v>
      </c>
      <c r="L7" s="6">
        <v>156.184820259796</v>
      </c>
      <c r="M7" s="6">
        <v>38.687185909163397</v>
      </c>
      <c r="N7" s="6">
        <v>50.915181358607697</v>
      </c>
      <c r="O7" s="6">
        <v>47.748686889572198</v>
      </c>
      <c r="P7" s="6">
        <v>78.530730831560206</v>
      </c>
      <c r="Q7" s="6">
        <v>53.252752582298598</v>
      </c>
      <c r="R7" s="6">
        <v>48.947488667294103</v>
      </c>
      <c r="S7" s="6">
        <v>321.37364325732898</v>
      </c>
      <c r="T7" s="6">
        <v>241.60996493450401</v>
      </c>
      <c r="U7" s="6">
        <v>119.249806019235</v>
      </c>
      <c r="V7" s="6">
        <v>56.201335842650899</v>
      </c>
      <c r="W7" s="6">
        <v>307.47347584205301</v>
      </c>
      <c r="X7" s="6">
        <v>310.390295952717</v>
      </c>
      <c r="Y7" s="6">
        <v>281.893262798595</v>
      </c>
      <c r="Z7" s="6" t="s">
        <v>64</v>
      </c>
    </row>
    <row r="8" spans="1:30">
      <c r="C8" s="6">
        <v>2253.77883850437</v>
      </c>
      <c r="D8" s="6">
        <v>69.971449152369303</v>
      </c>
      <c r="E8" s="6">
        <v>152.42547905640399</v>
      </c>
      <c r="F8" s="6">
        <v>39.543310138627199</v>
      </c>
      <c r="G8" s="6">
        <v>23.027796089465799</v>
      </c>
      <c r="H8" s="6">
        <v>57.917238313909003</v>
      </c>
      <c r="I8" s="6">
        <v>37.073941143974501</v>
      </c>
      <c r="J8" s="6">
        <v>44.9057438039708</v>
      </c>
      <c r="K8" s="6">
        <v>50.395298831559899</v>
      </c>
      <c r="L8" s="6">
        <v>162.265645722188</v>
      </c>
      <c r="M8" s="6">
        <v>47.911106628841203</v>
      </c>
      <c r="N8" s="6">
        <v>51.2570975488389</v>
      </c>
      <c r="O8" s="6">
        <v>64.158426238475698</v>
      </c>
      <c r="P8" s="6">
        <v>90.179566402531407</v>
      </c>
      <c r="Q8" s="6">
        <v>64.831179087414796</v>
      </c>
      <c r="R8" s="6">
        <v>62.260719915833803</v>
      </c>
      <c r="S8" s="6">
        <v>323.895009151735</v>
      </c>
      <c r="T8" s="6">
        <v>270.55743072338799</v>
      </c>
      <c r="U8" s="6">
        <v>115.948344350086</v>
      </c>
      <c r="V8" s="6">
        <v>53.944752073580297</v>
      </c>
      <c r="W8" s="6">
        <v>299.69228941520902</v>
      </c>
      <c r="X8" s="6">
        <v>301.90733521591301</v>
      </c>
      <c r="Y8" s="6">
        <v>298.08721510880599</v>
      </c>
      <c r="Z8" s="6" t="s">
        <v>64</v>
      </c>
    </row>
    <row r="9" spans="1:30">
      <c r="C9" s="6">
        <v>-93.231162196683599</v>
      </c>
      <c r="D9" s="6">
        <v>59.124842163248701</v>
      </c>
      <c r="E9" s="6">
        <v>148.57309229345901</v>
      </c>
      <c r="F9" s="6">
        <v>41.630254495630801</v>
      </c>
      <c r="G9" s="6">
        <v>37.954038137423296</v>
      </c>
      <c r="H9" s="6">
        <v>26.3334485921104</v>
      </c>
      <c r="I9" s="6">
        <v>32.111296423248298</v>
      </c>
      <c r="J9" s="6">
        <v>38.943814892318898</v>
      </c>
      <c r="K9" s="6">
        <v>44.349483365418699</v>
      </c>
      <c r="L9" s="6">
        <v>156.16586252584401</v>
      </c>
      <c r="M9" s="6">
        <v>45.432296896119297</v>
      </c>
      <c r="N9" s="6">
        <v>35.230422301575501</v>
      </c>
      <c r="O9" s="6">
        <v>46.157945920460797</v>
      </c>
      <c r="P9" s="6">
        <v>75.464071684558704</v>
      </c>
      <c r="Q9" s="6">
        <v>54.836958903463</v>
      </c>
      <c r="R9" s="6">
        <v>41.5722369130808</v>
      </c>
      <c r="S9" s="6">
        <v>309.861195630125</v>
      </c>
      <c r="T9" s="6">
        <v>249.915709543801</v>
      </c>
      <c r="U9" s="6">
        <v>123.898599984683</v>
      </c>
      <c r="V9" s="6">
        <v>63.476852314201899</v>
      </c>
      <c r="W9" s="6">
        <v>321.40531616000402</v>
      </c>
      <c r="X9" s="6">
        <v>307.34071131422098</v>
      </c>
      <c r="Y9" s="6">
        <v>282.07170821041001</v>
      </c>
      <c r="Z9" s="6" t="s">
        <v>64</v>
      </c>
    </row>
    <row r="10" spans="1:30">
      <c r="C10" s="6" t="s">
        <v>64</v>
      </c>
      <c r="D10" s="6" t="s">
        <v>64</v>
      </c>
      <c r="E10" s="6" t="s">
        <v>64</v>
      </c>
      <c r="F10" s="6" t="s">
        <v>64</v>
      </c>
      <c r="G10" s="6" t="s">
        <v>64</v>
      </c>
      <c r="H10" s="6" t="s">
        <v>64</v>
      </c>
      <c r="I10" s="6" t="s">
        <v>64</v>
      </c>
      <c r="J10" s="6" t="s">
        <v>64</v>
      </c>
      <c r="K10" s="6" t="s">
        <v>64</v>
      </c>
      <c r="L10" s="6" t="s">
        <v>64</v>
      </c>
      <c r="M10" s="6" t="s">
        <v>64</v>
      </c>
      <c r="N10" s="6" t="s">
        <v>64</v>
      </c>
      <c r="O10" s="6" t="s">
        <v>64</v>
      </c>
      <c r="P10" s="6" t="s">
        <v>64</v>
      </c>
      <c r="Q10" s="6" t="s">
        <v>64</v>
      </c>
      <c r="R10" s="6" t="s">
        <v>64</v>
      </c>
      <c r="S10" s="6" t="s">
        <v>64</v>
      </c>
      <c r="T10" s="6" t="s">
        <v>64</v>
      </c>
      <c r="U10" s="6" t="s">
        <v>64</v>
      </c>
      <c r="V10" s="6" t="s">
        <v>64</v>
      </c>
      <c r="W10" s="6" t="s">
        <v>64</v>
      </c>
      <c r="X10" s="6" t="s">
        <v>64</v>
      </c>
      <c r="Y10" s="6" t="s">
        <v>64</v>
      </c>
      <c r="Z10" s="6" t="s">
        <v>64</v>
      </c>
    </row>
    <row r="11" spans="1:30">
      <c r="C11" s="6" t="s">
        <v>64</v>
      </c>
      <c r="D11" s="6" t="s">
        <v>64</v>
      </c>
      <c r="E11" s="6" t="s">
        <v>64</v>
      </c>
      <c r="F11" s="6" t="s">
        <v>64</v>
      </c>
      <c r="G11" s="6" t="s">
        <v>64</v>
      </c>
      <c r="H11" s="6" t="s">
        <v>64</v>
      </c>
      <c r="I11" s="6" t="s">
        <v>64</v>
      </c>
      <c r="J11" s="6" t="s">
        <v>64</v>
      </c>
      <c r="K11" s="6" t="s">
        <v>64</v>
      </c>
      <c r="L11" s="6" t="s">
        <v>64</v>
      </c>
      <c r="M11" s="6" t="s">
        <v>64</v>
      </c>
      <c r="N11" s="6" t="s">
        <v>64</v>
      </c>
      <c r="O11" s="6" t="s">
        <v>64</v>
      </c>
      <c r="P11" s="6" t="s">
        <v>64</v>
      </c>
      <c r="Q11" s="6" t="s">
        <v>64</v>
      </c>
      <c r="R11" s="6" t="s">
        <v>64</v>
      </c>
      <c r="S11" s="6" t="s">
        <v>64</v>
      </c>
      <c r="T11" s="6" t="s">
        <v>64</v>
      </c>
      <c r="U11" s="6" t="s">
        <v>64</v>
      </c>
      <c r="V11" s="6" t="s">
        <v>64</v>
      </c>
      <c r="W11" s="6" t="s">
        <v>64</v>
      </c>
      <c r="X11" s="6" t="s">
        <v>64</v>
      </c>
      <c r="Y11" s="6" t="s">
        <v>64</v>
      </c>
      <c r="Z11" s="6" t="s">
        <v>64</v>
      </c>
    </row>
    <row r="12" spans="1:30">
      <c r="C12" s="6" t="s">
        <v>64</v>
      </c>
      <c r="D12" s="6">
        <f t="shared" ref="D12:Y12" si="0">(D4+D5+D6)/3</f>
        <v>115.68211934171528</v>
      </c>
      <c r="E12" s="6">
        <f t="shared" si="0"/>
        <v>258.17982690423429</v>
      </c>
      <c r="F12" s="6">
        <f t="shared" si="0"/>
        <v>189.60794317209636</v>
      </c>
      <c r="G12" s="6">
        <f t="shared" si="0"/>
        <v>178.75576923929802</v>
      </c>
      <c r="H12" s="6">
        <f t="shared" si="0"/>
        <v>165.63550965255934</v>
      </c>
      <c r="I12" s="6">
        <f t="shared" si="0"/>
        <v>203.92891402802798</v>
      </c>
      <c r="J12" s="6">
        <f t="shared" si="0"/>
        <v>228.01055053966732</v>
      </c>
      <c r="K12" s="6">
        <f t="shared" si="0"/>
        <v>212.77504726120102</v>
      </c>
      <c r="L12" s="6">
        <f t="shared" si="0"/>
        <v>276.09080331060699</v>
      </c>
      <c r="M12" s="6">
        <f t="shared" si="0"/>
        <v>242.27562360964532</v>
      </c>
      <c r="N12" s="6">
        <f t="shared" si="0"/>
        <v>221.68194578928967</v>
      </c>
      <c r="O12" s="6">
        <f t="shared" si="0"/>
        <v>212.60585998535066</v>
      </c>
      <c r="P12" s="6">
        <f t="shared" si="0"/>
        <v>239.68764957977601</v>
      </c>
      <c r="Q12" s="6">
        <f t="shared" si="0"/>
        <v>246.02899328408935</v>
      </c>
      <c r="R12" s="6">
        <f t="shared" si="0"/>
        <v>237.45241806156</v>
      </c>
      <c r="S12" s="6">
        <f t="shared" si="0"/>
        <v>308.90780792265667</v>
      </c>
      <c r="T12" s="6">
        <f t="shared" si="0"/>
        <v>292.08357870352035</v>
      </c>
      <c r="U12" s="6">
        <f t="shared" si="0"/>
        <v>266.88177235491963</v>
      </c>
      <c r="V12" s="6">
        <f t="shared" si="0"/>
        <v>253.44280787328566</v>
      </c>
      <c r="W12" s="6">
        <f t="shared" si="0"/>
        <v>332.86704046306431</v>
      </c>
      <c r="X12" s="6">
        <f t="shared" si="0"/>
        <v>317.12520267835703</v>
      </c>
      <c r="Y12" s="6">
        <f t="shared" si="0"/>
        <v>295.92444445863634</v>
      </c>
      <c r="Z12" s="6" t="s">
        <v>64</v>
      </c>
    </row>
    <row r="13" spans="1:30">
      <c r="C13" s="6" t="s">
        <v>64</v>
      </c>
      <c r="D13" s="6" t="s">
        <v>64</v>
      </c>
      <c r="E13" s="6">
        <f t="shared" ref="E13:Y13" si="1">E12-115.682119</f>
        <v>142.49770790423429</v>
      </c>
      <c r="F13" s="6">
        <f t="shared" si="1"/>
        <v>73.925824172096355</v>
      </c>
      <c r="G13" s="6">
        <f t="shared" si="1"/>
        <v>63.073650239298019</v>
      </c>
      <c r="H13" s="6">
        <f t="shared" si="1"/>
        <v>49.953390652559335</v>
      </c>
      <c r="I13" s="6">
        <f t="shared" si="1"/>
        <v>88.246795028027975</v>
      </c>
      <c r="J13" s="6">
        <f t="shared" si="1"/>
        <v>112.32843153966732</v>
      </c>
      <c r="K13" s="6">
        <f t="shared" si="1"/>
        <v>97.092928261201024</v>
      </c>
      <c r="L13" s="6">
        <f t="shared" si="1"/>
        <v>160.40868431060699</v>
      </c>
      <c r="M13" s="6">
        <f t="shared" si="1"/>
        <v>126.59350460964532</v>
      </c>
      <c r="N13" s="6">
        <f t="shared" si="1"/>
        <v>105.99982678928967</v>
      </c>
      <c r="O13" s="6">
        <f t="shared" si="1"/>
        <v>96.923740985350662</v>
      </c>
      <c r="P13" s="6">
        <f t="shared" si="1"/>
        <v>124.00553057977601</v>
      </c>
      <c r="Q13" s="6">
        <f t="shared" si="1"/>
        <v>130.34687428408935</v>
      </c>
      <c r="R13" s="6">
        <f t="shared" si="1"/>
        <v>121.77029906156</v>
      </c>
      <c r="S13" s="6">
        <f t="shared" si="1"/>
        <v>193.22568892265667</v>
      </c>
      <c r="T13" s="6">
        <f t="shared" si="1"/>
        <v>176.40145970352035</v>
      </c>
      <c r="U13" s="6">
        <f t="shared" si="1"/>
        <v>151.19965335491963</v>
      </c>
      <c r="V13" s="6">
        <f t="shared" si="1"/>
        <v>137.76068887328566</v>
      </c>
      <c r="W13" s="6">
        <f t="shared" si="1"/>
        <v>217.18492146306431</v>
      </c>
      <c r="X13" s="6">
        <f t="shared" si="1"/>
        <v>201.44308367835703</v>
      </c>
      <c r="Y13" s="6">
        <f t="shared" si="1"/>
        <v>180.24232545863634</v>
      </c>
      <c r="Z13" s="6" t="s">
        <v>64</v>
      </c>
    </row>
    <row r="14" spans="1:30">
      <c r="C14" s="6" t="s">
        <v>64</v>
      </c>
      <c r="D14" s="6">
        <f t="shared" ref="D14:Y14" si="2">(D9+D7+D8)/3</f>
        <v>55.9229169749633</v>
      </c>
      <c r="E14" s="6">
        <f t="shared" si="2"/>
        <v>153.37873782900769</v>
      </c>
      <c r="F14" s="6">
        <f t="shared" si="2"/>
        <v>46.165387787402864</v>
      </c>
      <c r="G14" s="6">
        <f t="shared" si="2"/>
        <v>33.373909426681799</v>
      </c>
      <c r="H14" s="6">
        <f t="shared" si="2"/>
        <v>41.756833013156132</v>
      </c>
      <c r="I14" s="6">
        <f t="shared" si="2"/>
        <v>40.229064610846841</v>
      </c>
      <c r="J14" s="6">
        <f t="shared" si="2"/>
        <v>41.577053865200696</v>
      </c>
      <c r="K14" s="6">
        <f t="shared" si="2"/>
        <v>47.955498111003003</v>
      </c>
      <c r="L14" s="6">
        <f t="shared" si="2"/>
        <v>158.20544283594268</v>
      </c>
      <c r="M14" s="6">
        <f t="shared" si="2"/>
        <v>44.010196478041301</v>
      </c>
      <c r="N14" s="6">
        <f t="shared" si="2"/>
        <v>45.800900403007368</v>
      </c>
      <c r="O14" s="6">
        <f t="shared" si="2"/>
        <v>52.688353016169565</v>
      </c>
      <c r="P14" s="6">
        <f t="shared" si="2"/>
        <v>81.391456306216767</v>
      </c>
      <c r="Q14" s="6">
        <f t="shared" si="2"/>
        <v>57.640296857725467</v>
      </c>
      <c r="R14" s="6">
        <f t="shared" si="2"/>
        <v>50.9268151654029</v>
      </c>
      <c r="S14" s="6">
        <f t="shared" si="2"/>
        <v>318.37661601306303</v>
      </c>
      <c r="T14" s="6">
        <f t="shared" si="2"/>
        <v>254.02770173389766</v>
      </c>
      <c r="U14" s="6">
        <f t="shared" si="2"/>
        <v>119.69891678466801</v>
      </c>
      <c r="V14" s="6">
        <f t="shared" si="2"/>
        <v>57.874313410144367</v>
      </c>
      <c r="W14" s="6">
        <f t="shared" si="2"/>
        <v>309.52369380575533</v>
      </c>
      <c r="X14" s="6">
        <f t="shared" si="2"/>
        <v>306.54611416095031</v>
      </c>
      <c r="Y14" s="6">
        <f t="shared" si="2"/>
        <v>287.350728705937</v>
      </c>
      <c r="Z14" s="6" t="s">
        <v>64</v>
      </c>
    </row>
    <row r="15" spans="1:30">
      <c r="C15" s="6" t="s">
        <v>64</v>
      </c>
      <c r="D15" s="6" t="s">
        <v>64</v>
      </c>
      <c r="E15" s="6">
        <f t="shared" ref="E15:Y15" si="3">E14-55.922917</f>
        <v>97.455820829007692</v>
      </c>
      <c r="F15" s="6">
        <f t="shared" si="3"/>
        <v>-9.7575292125971345</v>
      </c>
      <c r="G15" s="6">
        <f t="shared" si="3"/>
        <v>-22.5490075733182</v>
      </c>
      <c r="H15" s="6">
        <f t="shared" si="3"/>
        <v>-14.166083986843866</v>
      </c>
      <c r="I15" s="6">
        <f t="shared" si="3"/>
        <v>-15.693852389153157</v>
      </c>
      <c r="J15" s="6">
        <f t="shared" si="3"/>
        <v>-14.345863134799302</v>
      </c>
      <c r="K15" s="6">
        <f t="shared" si="3"/>
        <v>-7.9674188889969955</v>
      </c>
      <c r="L15" s="6">
        <f t="shared" si="3"/>
        <v>102.28252583594268</v>
      </c>
      <c r="M15" s="6">
        <f t="shared" si="3"/>
        <v>-11.912720521958697</v>
      </c>
      <c r="N15" s="6">
        <f t="shared" si="3"/>
        <v>-10.12201659699263</v>
      </c>
      <c r="O15" s="6">
        <f t="shared" si="3"/>
        <v>-3.2345639838304336</v>
      </c>
      <c r="P15" s="6">
        <f t="shared" si="3"/>
        <v>25.468539306216769</v>
      </c>
      <c r="Q15" s="6">
        <f t="shared" si="3"/>
        <v>1.7173798577254686</v>
      </c>
      <c r="R15" s="6">
        <f t="shared" si="3"/>
        <v>-4.9961018345970984</v>
      </c>
      <c r="S15" s="6">
        <f t="shared" si="3"/>
        <v>262.45369901306304</v>
      </c>
      <c r="T15" s="6">
        <f t="shared" si="3"/>
        <v>198.10478473389765</v>
      </c>
      <c r="U15" s="6">
        <f t="shared" si="3"/>
        <v>63.775999784668016</v>
      </c>
      <c r="V15" s="6">
        <f t="shared" si="3"/>
        <v>1.951396410144369</v>
      </c>
      <c r="W15" s="6">
        <f t="shared" si="3"/>
        <v>253.60077680575534</v>
      </c>
      <c r="X15" s="6">
        <f t="shared" si="3"/>
        <v>250.62319716095033</v>
      </c>
      <c r="Y15" s="6">
        <f t="shared" si="3"/>
        <v>231.42781170593702</v>
      </c>
      <c r="Z15" s="6" t="s">
        <v>64</v>
      </c>
    </row>
    <row r="16" spans="1:30">
      <c r="C16" s="6" t="s">
        <v>64</v>
      </c>
      <c r="D16" s="6" t="s">
        <v>64</v>
      </c>
      <c r="E16" s="6" t="s">
        <v>64</v>
      </c>
      <c r="F16" s="6" t="s">
        <v>64</v>
      </c>
      <c r="G16" s="6" t="s">
        <v>64</v>
      </c>
      <c r="H16" s="6" t="s">
        <v>64</v>
      </c>
      <c r="I16" s="6" t="s">
        <v>64</v>
      </c>
      <c r="J16" s="6" t="s">
        <v>64</v>
      </c>
      <c r="K16" s="6" t="s">
        <v>64</v>
      </c>
      <c r="L16" s="6" t="s">
        <v>64</v>
      </c>
      <c r="M16" s="6" t="s">
        <v>64</v>
      </c>
      <c r="N16" s="6" t="s">
        <v>64</v>
      </c>
      <c r="O16" s="6" t="s">
        <v>64</v>
      </c>
      <c r="P16" s="6" t="s">
        <v>64</v>
      </c>
      <c r="Q16" s="6" t="s">
        <v>64</v>
      </c>
      <c r="R16" s="6" t="s">
        <v>64</v>
      </c>
      <c r="S16" s="6" t="s">
        <v>64</v>
      </c>
      <c r="T16" s="6" t="s">
        <v>64</v>
      </c>
      <c r="U16" s="6" t="s">
        <v>64</v>
      </c>
      <c r="V16" s="6" t="s">
        <v>64</v>
      </c>
      <c r="W16" s="6" t="s">
        <v>64</v>
      </c>
      <c r="X16" s="6" t="s">
        <v>64</v>
      </c>
      <c r="Y16" s="6" t="s">
        <v>64</v>
      </c>
      <c r="Z16" s="6" t="s">
        <v>64</v>
      </c>
    </row>
    <row r="17" spans="1:30">
      <c r="C17" s="6" t="s">
        <v>64</v>
      </c>
      <c r="D17" s="6" t="s">
        <v>64</v>
      </c>
      <c r="E17" s="6">
        <f>_xlfn.STDEV.S(E4:E6)</f>
        <v>9.3201274325874408</v>
      </c>
      <c r="F17" s="6">
        <f>_xlfn.STDEV.S(F4:F6)</f>
        <v>30.20114949451618</v>
      </c>
      <c r="G17" s="6">
        <f>_xlfn.STDEV.S(G4:G6)</f>
        <v>6.7792303660852458</v>
      </c>
      <c r="H17" s="6">
        <f>_xlfn.STDEV.S(H4:H6)</f>
        <v>12.327996826509372</v>
      </c>
      <c r="L17" s="6">
        <f>_xlfn.STDEV.S(L4:L6)</f>
        <v>14.072844796045118</v>
      </c>
      <c r="M17" s="6">
        <f>_xlfn.STDEV.S(M4:M6)</f>
        <v>17.433287551878415</v>
      </c>
      <c r="N17" s="6">
        <f>_xlfn.STDEV.S(N4:N6)</f>
        <v>20.49874969619124</v>
      </c>
      <c r="O17" s="6">
        <f>_xlfn.STDEV.S(O4:O6)</f>
        <v>6.1416595719596812</v>
      </c>
      <c r="S17" s="6">
        <f>_xlfn.STDEV.S(S4:S6)</f>
        <v>9.8053682527716362</v>
      </c>
      <c r="T17" s="6">
        <f>_xlfn.STDEV.S(T4:T6)</f>
        <v>11.859435519623966</v>
      </c>
      <c r="U17" s="6">
        <f>_xlfn.STDEV.S(U4:U6)</f>
        <v>24.773615089066869</v>
      </c>
      <c r="V17" s="6">
        <f>_xlfn.STDEV.S(V4:V6)</f>
        <v>9.4196402796341765</v>
      </c>
      <c r="Z17" s="6" t="s">
        <v>64</v>
      </c>
    </row>
    <row r="18" spans="1:30">
      <c r="C18" s="6" t="s">
        <v>64</v>
      </c>
      <c r="D18" s="6" t="s">
        <v>64</v>
      </c>
      <c r="E18" s="6">
        <f>_xlfn.STDEV.S(E7:E9)</f>
        <v>5.346396456087966</v>
      </c>
      <c r="F18" s="6">
        <f>_xlfn.STDEV.S(F7:F9)</f>
        <v>9.7186084994826416</v>
      </c>
      <c r="G18" s="6">
        <f>_xlfn.STDEV.S(G7:G9)</f>
        <v>8.9795940583697327</v>
      </c>
      <c r="H18" s="6">
        <f>_xlfn.STDEV.S(H7:H9)</f>
        <v>15.804788613915106</v>
      </c>
      <c r="L18" s="6">
        <f>_xlfn.STDEV.S(L7:L9)</f>
        <v>3.5162516202662935</v>
      </c>
      <c r="M18" s="6">
        <f>_xlfn.STDEV.S(M7:M9)</f>
        <v>4.773568430435307</v>
      </c>
      <c r="N18" s="6">
        <f>_xlfn.STDEV.S(N7:N9)</f>
        <v>9.1558987619962124</v>
      </c>
      <c r="O18" s="6">
        <f>_xlfn.STDEV.S(O7:O9)</f>
        <v>9.965166782422715</v>
      </c>
      <c r="S18" s="6">
        <f>_xlfn.STDEV.S(S7:S9)</f>
        <v>7.4815512908076327</v>
      </c>
      <c r="T18" s="6">
        <f>_xlfn.STDEV.S(T7:T9)</f>
        <v>14.905378349046165</v>
      </c>
      <c r="U18" s="6">
        <f>_xlfn.STDEV.S(U7:U9)</f>
        <v>3.9941102292727475</v>
      </c>
      <c r="V18" s="6">
        <f>_xlfn.STDEV.S(V7:V9)</f>
        <v>4.9814028350773709</v>
      </c>
      <c r="W18" s="6" t="s">
        <v>64</v>
      </c>
      <c r="X18" s="6" t="s">
        <v>64</v>
      </c>
      <c r="Y18" s="6" t="s">
        <v>64</v>
      </c>
      <c r="Z18" s="6" t="s">
        <v>64</v>
      </c>
    </row>
    <row r="19" spans="1:30">
      <c r="C19" s="6" t="s">
        <v>64</v>
      </c>
      <c r="D19" s="6" t="s">
        <v>64</v>
      </c>
      <c r="E19" s="6" t="s">
        <v>64</v>
      </c>
      <c r="F19" s="6" t="s">
        <v>64</v>
      </c>
      <c r="G19" s="6" t="s">
        <v>64</v>
      </c>
      <c r="H19" s="6" t="s">
        <v>64</v>
      </c>
      <c r="I19" s="6" t="s">
        <v>64</v>
      </c>
      <c r="J19" s="6" t="s">
        <v>64</v>
      </c>
      <c r="K19" s="6" t="s">
        <v>64</v>
      </c>
      <c r="L19" s="6" t="s">
        <v>64</v>
      </c>
      <c r="M19" s="6" t="s">
        <v>64</v>
      </c>
      <c r="N19" s="6" t="s">
        <v>64</v>
      </c>
      <c r="O19" s="6" t="s">
        <v>64</v>
      </c>
      <c r="P19" s="6" t="s">
        <v>64</v>
      </c>
      <c r="Q19" s="6" t="s">
        <v>64</v>
      </c>
      <c r="R19" s="6" t="s">
        <v>64</v>
      </c>
      <c r="S19" s="6" t="s">
        <v>64</v>
      </c>
      <c r="T19" s="6" t="s">
        <v>64</v>
      </c>
      <c r="U19" s="6" t="s">
        <v>64</v>
      </c>
      <c r="V19" s="6" t="s">
        <v>64</v>
      </c>
      <c r="W19" s="6" t="s">
        <v>64</v>
      </c>
      <c r="X19" s="6" t="s">
        <v>64</v>
      </c>
      <c r="Y19" s="6" t="s">
        <v>64</v>
      </c>
      <c r="Z19" s="6" t="s">
        <v>64</v>
      </c>
    </row>
    <row r="20" spans="1:30">
      <c r="A20" s="6" t="s">
        <v>63</v>
      </c>
    </row>
    <row r="21" spans="1:30">
      <c r="A21" s="6" t="s">
        <v>71</v>
      </c>
      <c r="B21" s="6" t="s">
        <v>70</v>
      </c>
      <c r="C21" s="6">
        <v>1.3</v>
      </c>
      <c r="D21" s="6" t="s">
        <v>69</v>
      </c>
      <c r="E21" s="6" t="s">
        <v>68</v>
      </c>
      <c r="F21" s="6" t="s">
        <v>67</v>
      </c>
      <c r="G21" s="6" t="s">
        <v>66</v>
      </c>
      <c r="H21" s="6" t="b">
        <v>0</v>
      </c>
      <c r="I21" s="6">
        <v>1</v>
      </c>
      <c r="O21" s="6">
        <v>1</v>
      </c>
      <c r="Q21" s="6">
        <v>1</v>
      </c>
      <c r="R21" s="6">
        <v>23</v>
      </c>
      <c r="S21" s="6">
        <v>384</v>
      </c>
      <c r="T21" s="6">
        <v>485</v>
      </c>
      <c r="U21" s="6" t="s">
        <v>65</v>
      </c>
      <c r="Y21" s="6">
        <v>0</v>
      </c>
      <c r="AC21" s="6">
        <v>1</v>
      </c>
      <c r="AD21" s="6">
        <v>6</v>
      </c>
    </row>
    <row r="22" spans="1:30">
      <c r="C22" s="6">
        <v>1</v>
      </c>
      <c r="D22" s="6">
        <v>2</v>
      </c>
      <c r="E22" s="6">
        <v>3</v>
      </c>
      <c r="F22" s="6">
        <v>4</v>
      </c>
      <c r="G22" s="6">
        <v>5</v>
      </c>
      <c r="H22" s="6">
        <v>6</v>
      </c>
      <c r="I22" s="6">
        <v>7</v>
      </c>
      <c r="J22" s="6">
        <v>8</v>
      </c>
      <c r="K22" s="6">
        <v>9</v>
      </c>
      <c r="L22" s="6">
        <v>10</v>
      </c>
      <c r="M22" s="6">
        <v>11</v>
      </c>
      <c r="N22" s="6">
        <v>12</v>
      </c>
      <c r="O22" s="6">
        <v>13</v>
      </c>
      <c r="P22" s="6">
        <v>14</v>
      </c>
      <c r="Q22" s="6">
        <v>15</v>
      </c>
      <c r="R22" s="6">
        <v>16</v>
      </c>
      <c r="S22" s="6">
        <v>17</v>
      </c>
      <c r="T22" s="6">
        <v>18</v>
      </c>
      <c r="U22" s="6">
        <v>19</v>
      </c>
      <c r="V22" s="6">
        <v>20</v>
      </c>
      <c r="W22" s="6">
        <v>21</v>
      </c>
      <c r="X22" s="6">
        <v>22</v>
      </c>
      <c r="Y22" s="6">
        <v>23</v>
      </c>
      <c r="Z22" s="6">
        <v>24</v>
      </c>
    </row>
    <row r="23" spans="1:30">
      <c r="C23" s="6">
        <v>-54859.649122808303</v>
      </c>
      <c r="D23" s="6">
        <v>101.561092890681</v>
      </c>
      <c r="E23" s="6">
        <v>237.98705823269401</v>
      </c>
      <c r="F23" s="6">
        <v>191.788524976742</v>
      </c>
      <c r="G23" s="6">
        <v>158.85952253137799</v>
      </c>
      <c r="H23" s="6">
        <v>151.61974094779501</v>
      </c>
      <c r="I23" s="6">
        <v>204.477540613553</v>
      </c>
      <c r="J23" s="6">
        <v>214.55454557806399</v>
      </c>
      <c r="K23" s="6">
        <v>225.66184208727901</v>
      </c>
      <c r="L23" s="6">
        <v>217.713166139999</v>
      </c>
      <c r="M23" s="6">
        <v>225.49218152999501</v>
      </c>
      <c r="N23" s="6">
        <v>195.63861301394701</v>
      </c>
      <c r="O23" s="6">
        <v>194.28547140610399</v>
      </c>
      <c r="P23" s="6">
        <v>212.98591413328299</v>
      </c>
      <c r="Q23" s="6">
        <v>228.76527214722501</v>
      </c>
      <c r="R23" s="6">
        <v>203.86338201439</v>
      </c>
      <c r="S23" s="6">
        <v>303.41252070155298</v>
      </c>
      <c r="T23" s="6">
        <v>249.155080104782</v>
      </c>
      <c r="U23" s="6">
        <v>239.03314740014099</v>
      </c>
      <c r="V23" s="6">
        <v>240.870168812299</v>
      </c>
      <c r="W23" s="6">
        <v>274.12662519837102</v>
      </c>
      <c r="X23" s="6">
        <v>282.64531916725002</v>
      </c>
      <c r="Y23" s="6">
        <v>266.88989447150601</v>
      </c>
      <c r="Z23" s="6" t="s">
        <v>64</v>
      </c>
    </row>
    <row r="24" spans="1:30">
      <c r="C24" s="6">
        <v>1704.40251572327</v>
      </c>
      <c r="D24" s="6">
        <v>120.595884662142</v>
      </c>
      <c r="E24" s="6">
        <v>234.70227382129499</v>
      </c>
      <c r="F24" s="6">
        <v>187.41353934006</v>
      </c>
      <c r="G24" s="6">
        <v>191.63655999981901</v>
      </c>
      <c r="H24" s="6">
        <v>141.64601324172801</v>
      </c>
      <c r="I24" s="6">
        <v>215.58718244088499</v>
      </c>
      <c r="J24" s="6">
        <v>210.46592642667099</v>
      </c>
      <c r="K24" s="6">
        <v>227.69649866185199</v>
      </c>
      <c r="L24" s="6">
        <v>245.254422029815</v>
      </c>
      <c r="M24" s="6">
        <v>222.67744544039701</v>
      </c>
      <c r="N24" s="6">
        <v>228.00007458730499</v>
      </c>
      <c r="O24" s="6">
        <v>191.466934813432</v>
      </c>
      <c r="P24" s="6">
        <v>248.663175268679</v>
      </c>
      <c r="Q24" s="6">
        <v>221.589678931214</v>
      </c>
      <c r="R24" s="6">
        <v>237.96365129067601</v>
      </c>
      <c r="S24" s="6">
        <v>311.94195016345998</v>
      </c>
      <c r="T24" s="6">
        <v>266.46061077706503</v>
      </c>
      <c r="U24" s="6">
        <v>225.95088497704199</v>
      </c>
      <c r="V24" s="6">
        <v>255.454602658699</v>
      </c>
      <c r="W24" s="6">
        <v>281.99621545649501</v>
      </c>
      <c r="X24" s="6">
        <v>276.39696930242297</v>
      </c>
      <c r="Y24" s="6">
        <v>258.75635673130699</v>
      </c>
      <c r="Z24" s="6" t="s">
        <v>64</v>
      </c>
    </row>
    <row r="25" spans="1:30">
      <c r="C25" s="6">
        <v>5632.9966329966501</v>
      </c>
      <c r="D25" s="6">
        <v>139.62666921554299</v>
      </c>
      <c r="E25" s="6">
        <v>256.51751504224598</v>
      </c>
      <c r="F25" s="6">
        <v>187.16933575869899</v>
      </c>
      <c r="G25" s="6">
        <v>159.345769831094</v>
      </c>
      <c r="H25" s="6">
        <v>154.712840993192</v>
      </c>
      <c r="I25" s="6">
        <v>215.49312443501</v>
      </c>
      <c r="J25" s="6">
        <v>219.22382287149901</v>
      </c>
      <c r="K25" s="6">
        <v>220.096463420368</v>
      </c>
      <c r="L25" s="6">
        <v>264.076069060169</v>
      </c>
      <c r="M25" s="6">
        <v>225.47632693233101</v>
      </c>
      <c r="N25" s="6">
        <v>216.05261154536501</v>
      </c>
      <c r="O25" s="6">
        <v>215.45809775180001</v>
      </c>
      <c r="P25" s="6">
        <v>257.19772104888398</v>
      </c>
      <c r="Q25" s="6">
        <v>235.20304690321501</v>
      </c>
      <c r="R25" s="6">
        <v>240.72104633279699</v>
      </c>
      <c r="S25" s="6">
        <v>319.12060126290299</v>
      </c>
      <c r="T25" s="6">
        <v>281.26684866271898</v>
      </c>
      <c r="U25" s="6">
        <v>258.52130054810198</v>
      </c>
      <c r="V25" s="6">
        <v>259.413152381592</v>
      </c>
      <c r="W25" s="6">
        <v>315.37300046547</v>
      </c>
      <c r="X25" s="6">
        <v>301.53449227942002</v>
      </c>
      <c r="Y25" s="6">
        <v>304.10383836094599</v>
      </c>
      <c r="Z25" s="6" t="s">
        <v>64</v>
      </c>
    </row>
    <row r="26" spans="1:30">
      <c r="C26" s="6">
        <v>279.38629052214799</v>
      </c>
      <c r="D26" s="6">
        <v>121.20977632081799</v>
      </c>
      <c r="E26" s="6">
        <v>166.62190415752599</v>
      </c>
      <c r="F26" s="6">
        <v>49.274098301081096</v>
      </c>
      <c r="G26" s="6">
        <v>37.3674161994212</v>
      </c>
      <c r="H26" s="6">
        <v>42.327418288389602</v>
      </c>
      <c r="I26" s="6">
        <v>54.005970594086001</v>
      </c>
      <c r="J26" s="6">
        <v>45.228682417279202</v>
      </c>
      <c r="K26" s="6">
        <v>47.978218127511099</v>
      </c>
      <c r="L26" s="6">
        <v>181.41493719101399</v>
      </c>
      <c r="M26" s="6">
        <v>36.372809674802298</v>
      </c>
      <c r="N26" s="6">
        <v>46.030351514293102</v>
      </c>
      <c r="O26" s="6">
        <v>39.293003106786401</v>
      </c>
      <c r="P26" s="6">
        <v>80.643231454831394</v>
      </c>
      <c r="Q26" s="6">
        <v>54.646926818634803</v>
      </c>
      <c r="R26" s="6">
        <v>49.140750828304803</v>
      </c>
      <c r="S26" s="6">
        <v>307.59853446018201</v>
      </c>
      <c r="T26" s="6">
        <v>267.898256727751</v>
      </c>
      <c r="U26" s="6">
        <v>132.48857243123601</v>
      </c>
      <c r="V26" s="6">
        <v>62.982292488161299</v>
      </c>
      <c r="W26" s="6">
        <v>299.27347281657097</v>
      </c>
      <c r="X26" s="6">
        <v>304.450468686568</v>
      </c>
      <c r="Y26" s="6">
        <v>294.17119315147602</v>
      </c>
      <c r="Z26" s="6" t="s">
        <v>64</v>
      </c>
    </row>
    <row r="27" spans="1:30">
      <c r="C27" s="6">
        <v>179.487179487178</v>
      </c>
      <c r="D27" s="6">
        <v>67.984186794417099</v>
      </c>
      <c r="E27" s="6">
        <v>162.252222322893</v>
      </c>
      <c r="F27" s="6">
        <v>43.644513352187403</v>
      </c>
      <c r="G27" s="6">
        <v>38.006516049325</v>
      </c>
      <c r="H27" s="6">
        <v>57.0806360107388</v>
      </c>
      <c r="I27" s="6">
        <v>61.410283564282302</v>
      </c>
      <c r="J27" s="6">
        <v>31.9361065363296</v>
      </c>
      <c r="K27" s="6">
        <v>44.125638736572803</v>
      </c>
      <c r="L27" s="6">
        <v>171.45033113077699</v>
      </c>
      <c r="M27" s="6">
        <v>46.571962771204497</v>
      </c>
      <c r="N27" s="6">
        <v>54.446168431780002</v>
      </c>
      <c r="O27" s="6">
        <v>44.014636151450397</v>
      </c>
      <c r="P27" s="6">
        <v>83.934892699293499</v>
      </c>
      <c r="Q27" s="6">
        <v>76.228196163201702</v>
      </c>
      <c r="R27" s="6">
        <v>59.371791569726298</v>
      </c>
      <c r="S27" s="6">
        <v>319.73181998755098</v>
      </c>
      <c r="T27" s="6">
        <v>254.37926917581601</v>
      </c>
      <c r="U27" s="6">
        <v>136.75858321555299</v>
      </c>
      <c r="V27" s="6">
        <v>54.323166575962901</v>
      </c>
      <c r="W27" s="6">
        <v>303.367269085685</v>
      </c>
      <c r="X27" s="6">
        <v>303.83461063297102</v>
      </c>
      <c r="Y27" s="6">
        <v>278.35013681523498</v>
      </c>
      <c r="Z27" s="6" t="s">
        <v>64</v>
      </c>
    </row>
    <row r="28" spans="1:30">
      <c r="C28" s="6">
        <v>1598.32366215345</v>
      </c>
      <c r="D28" s="6">
        <v>84.652286123475307</v>
      </c>
      <c r="E28" s="6">
        <v>168.71985804787599</v>
      </c>
      <c r="F28" s="6">
        <v>33.470624437816497</v>
      </c>
      <c r="G28" s="6">
        <v>48.222540879109403</v>
      </c>
      <c r="H28" s="6">
        <v>45.513131563696497</v>
      </c>
      <c r="I28" s="6">
        <v>49.3084124627077</v>
      </c>
      <c r="J28" s="6">
        <v>48.850228068135998</v>
      </c>
      <c r="K28" s="6">
        <v>45.187171565783103</v>
      </c>
      <c r="L28" s="6">
        <v>168.38870808573299</v>
      </c>
      <c r="M28" s="6">
        <v>44.225375029623798</v>
      </c>
      <c r="N28" s="6">
        <v>45.750299620795303</v>
      </c>
      <c r="O28" s="6">
        <v>52.217806290495801</v>
      </c>
      <c r="P28" s="6">
        <v>60.097853405149401</v>
      </c>
      <c r="Q28" s="6">
        <v>51.238909095394199</v>
      </c>
      <c r="R28" s="6">
        <v>52.838625272499399</v>
      </c>
      <c r="S28" s="6">
        <v>317.31483178336299</v>
      </c>
      <c r="T28" s="6">
        <v>223.96756033227001</v>
      </c>
      <c r="U28" s="6">
        <v>127.407363354323</v>
      </c>
      <c r="V28" s="6">
        <v>66.957318250710202</v>
      </c>
      <c r="W28" s="6">
        <v>297.03029643005698</v>
      </c>
      <c r="X28" s="6">
        <v>287.008594051518</v>
      </c>
      <c r="Y28" s="6">
        <v>290.22907394365802</v>
      </c>
      <c r="Z28" s="6" t="s">
        <v>64</v>
      </c>
    </row>
    <row r="29" spans="1:30">
      <c r="C29" s="6" t="s">
        <v>64</v>
      </c>
      <c r="D29" s="6" t="s">
        <v>64</v>
      </c>
      <c r="E29" s="6" t="s">
        <v>64</v>
      </c>
      <c r="F29" s="6" t="s">
        <v>64</v>
      </c>
      <c r="G29" s="6" t="s">
        <v>64</v>
      </c>
      <c r="H29" s="6" t="s">
        <v>64</v>
      </c>
      <c r="I29" s="6" t="s">
        <v>64</v>
      </c>
      <c r="J29" s="6" t="s">
        <v>64</v>
      </c>
      <c r="K29" s="6" t="s">
        <v>64</v>
      </c>
      <c r="L29" s="6" t="s">
        <v>64</v>
      </c>
      <c r="M29" s="6" t="s">
        <v>64</v>
      </c>
      <c r="N29" s="6" t="s">
        <v>64</v>
      </c>
      <c r="O29" s="6" t="s">
        <v>64</v>
      </c>
      <c r="P29" s="6" t="s">
        <v>64</v>
      </c>
      <c r="Q29" s="6" t="s">
        <v>64</v>
      </c>
      <c r="R29" s="6" t="s">
        <v>64</v>
      </c>
      <c r="S29" s="6" t="s">
        <v>64</v>
      </c>
      <c r="T29" s="6" t="s">
        <v>64</v>
      </c>
      <c r="U29" s="6" t="s">
        <v>64</v>
      </c>
      <c r="V29" s="6" t="s">
        <v>64</v>
      </c>
      <c r="W29" s="6" t="s">
        <v>64</v>
      </c>
      <c r="X29" s="6" t="s">
        <v>64</v>
      </c>
      <c r="Y29" s="6" t="s">
        <v>64</v>
      </c>
      <c r="Z29" s="6" t="s">
        <v>64</v>
      </c>
    </row>
    <row r="30" spans="1:30">
      <c r="C30" s="6" t="s">
        <v>64</v>
      </c>
      <c r="D30" s="6" t="s">
        <v>64</v>
      </c>
      <c r="E30" s="6" t="s">
        <v>64</v>
      </c>
      <c r="F30" s="6" t="s">
        <v>64</v>
      </c>
      <c r="G30" s="6" t="s">
        <v>64</v>
      </c>
      <c r="H30" s="6" t="s">
        <v>64</v>
      </c>
      <c r="I30" s="6" t="s">
        <v>64</v>
      </c>
      <c r="J30" s="6" t="s">
        <v>64</v>
      </c>
      <c r="K30" s="6" t="s">
        <v>64</v>
      </c>
      <c r="L30" s="6" t="s">
        <v>64</v>
      </c>
      <c r="M30" s="6" t="s">
        <v>64</v>
      </c>
      <c r="N30" s="6" t="s">
        <v>64</v>
      </c>
      <c r="O30" s="6" t="s">
        <v>64</v>
      </c>
      <c r="P30" s="6" t="s">
        <v>64</v>
      </c>
      <c r="Q30" s="6" t="s">
        <v>64</v>
      </c>
      <c r="R30" s="6" t="s">
        <v>64</v>
      </c>
      <c r="S30" s="6" t="s">
        <v>64</v>
      </c>
      <c r="T30" s="6" t="s">
        <v>64</v>
      </c>
      <c r="U30" s="6" t="s">
        <v>64</v>
      </c>
      <c r="V30" s="6" t="s">
        <v>64</v>
      </c>
      <c r="W30" s="6" t="s">
        <v>64</v>
      </c>
      <c r="X30" s="6" t="s">
        <v>64</v>
      </c>
      <c r="Y30" s="6" t="s">
        <v>64</v>
      </c>
      <c r="Z30" s="6" t="s">
        <v>64</v>
      </c>
    </row>
    <row r="31" spans="1:30">
      <c r="C31" s="6" t="s">
        <v>64</v>
      </c>
      <c r="D31" s="6" t="s">
        <v>64</v>
      </c>
      <c r="E31" s="6" t="s">
        <v>64</v>
      </c>
      <c r="F31" s="6" t="s">
        <v>64</v>
      </c>
      <c r="G31" s="6" t="s">
        <v>64</v>
      </c>
      <c r="H31" s="6" t="s">
        <v>64</v>
      </c>
      <c r="I31" s="6" t="s">
        <v>64</v>
      </c>
      <c r="J31" s="6" t="s">
        <v>64</v>
      </c>
      <c r="K31" s="6" t="s">
        <v>64</v>
      </c>
      <c r="L31" s="6" t="s">
        <v>64</v>
      </c>
      <c r="M31" s="6" t="s">
        <v>64</v>
      </c>
      <c r="N31" s="6" t="s">
        <v>64</v>
      </c>
      <c r="O31" s="6" t="s">
        <v>64</v>
      </c>
      <c r="P31" s="6" t="s">
        <v>64</v>
      </c>
      <c r="Q31" s="6" t="s">
        <v>64</v>
      </c>
      <c r="R31" s="6" t="s">
        <v>64</v>
      </c>
      <c r="S31" s="6" t="s">
        <v>64</v>
      </c>
      <c r="T31" s="6" t="s">
        <v>64</v>
      </c>
      <c r="U31" s="6" t="s">
        <v>64</v>
      </c>
      <c r="V31" s="6" t="s">
        <v>64</v>
      </c>
      <c r="W31" s="6" t="s">
        <v>64</v>
      </c>
      <c r="X31" s="6" t="s">
        <v>64</v>
      </c>
      <c r="Y31" s="6" t="s">
        <v>64</v>
      </c>
      <c r="Z31" s="6" t="s">
        <v>64</v>
      </c>
    </row>
    <row r="32" spans="1:30">
      <c r="C32" s="6" t="s">
        <v>64</v>
      </c>
      <c r="D32" s="6" t="s">
        <v>64</v>
      </c>
      <c r="E32" s="6" t="s">
        <v>64</v>
      </c>
      <c r="F32" s="6" t="s">
        <v>64</v>
      </c>
      <c r="G32" s="6" t="s">
        <v>64</v>
      </c>
      <c r="H32" s="6" t="s">
        <v>64</v>
      </c>
      <c r="I32" s="6" t="s">
        <v>64</v>
      </c>
      <c r="J32" s="6" t="s">
        <v>64</v>
      </c>
      <c r="K32" s="6" t="s">
        <v>64</v>
      </c>
      <c r="L32" s="6" t="s">
        <v>64</v>
      </c>
      <c r="M32" s="6" t="s">
        <v>64</v>
      </c>
      <c r="N32" s="6" t="s">
        <v>64</v>
      </c>
      <c r="O32" s="6" t="s">
        <v>64</v>
      </c>
      <c r="P32" s="6" t="s">
        <v>64</v>
      </c>
      <c r="Q32" s="6" t="s">
        <v>64</v>
      </c>
      <c r="R32" s="6" t="s">
        <v>64</v>
      </c>
      <c r="S32" s="6" t="s">
        <v>64</v>
      </c>
      <c r="T32" s="6" t="s">
        <v>64</v>
      </c>
      <c r="U32" s="6" t="s">
        <v>64</v>
      </c>
      <c r="V32" s="6" t="s">
        <v>64</v>
      </c>
      <c r="W32" s="6" t="s">
        <v>64</v>
      </c>
      <c r="X32" s="6" t="s">
        <v>64</v>
      </c>
      <c r="Y32" s="6" t="s">
        <v>64</v>
      </c>
      <c r="Z32" s="6" t="s">
        <v>64</v>
      </c>
    </row>
    <row r="33" spans="1:26">
      <c r="C33" s="6" t="s">
        <v>64</v>
      </c>
      <c r="D33" s="6" t="s">
        <v>64</v>
      </c>
      <c r="E33" s="6" t="s">
        <v>64</v>
      </c>
      <c r="F33" s="6" t="s">
        <v>64</v>
      </c>
      <c r="G33" s="6" t="s">
        <v>64</v>
      </c>
      <c r="H33" s="6" t="s">
        <v>64</v>
      </c>
      <c r="I33" s="6" t="s">
        <v>64</v>
      </c>
      <c r="J33" s="6" t="s">
        <v>64</v>
      </c>
      <c r="K33" s="6" t="s">
        <v>64</v>
      </c>
      <c r="L33" s="6" t="s">
        <v>64</v>
      </c>
      <c r="M33" s="6" t="s">
        <v>64</v>
      </c>
      <c r="N33" s="6" t="s">
        <v>64</v>
      </c>
      <c r="O33" s="6" t="s">
        <v>64</v>
      </c>
      <c r="P33" s="6" t="s">
        <v>64</v>
      </c>
      <c r="Q33" s="6" t="s">
        <v>64</v>
      </c>
      <c r="R33" s="6" t="s">
        <v>64</v>
      </c>
      <c r="S33" s="6" t="s">
        <v>64</v>
      </c>
      <c r="T33" s="6" t="s">
        <v>64</v>
      </c>
      <c r="U33" s="6" t="s">
        <v>64</v>
      </c>
      <c r="V33" s="6" t="s">
        <v>64</v>
      </c>
      <c r="W33" s="6" t="s">
        <v>64</v>
      </c>
      <c r="X33" s="6" t="s">
        <v>64</v>
      </c>
      <c r="Y33" s="6" t="s">
        <v>64</v>
      </c>
      <c r="Z33" s="6" t="s">
        <v>64</v>
      </c>
    </row>
    <row r="34" spans="1:26">
      <c r="C34" s="6" t="s">
        <v>64</v>
      </c>
      <c r="D34" s="6" t="s">
        <v>64</v>
      </c>
      <c r="E34" s="6" t="s">
        <v>64</v>
      </c>
      <c r="F34" s="6" t="s">
        <v>64</v>
      </c>
      <c r="G34" s="6" t="s">
        <v>64</v>
      </c>
      <c r="H34" s="6" t="s">
        <v>64</v>
      </c>
      <c r="I34" s="6" t="s">
        <v>64</v>
      </c>
      <c r="J34" s="6" t="s">
        <v>64</v>
      </c>
      <c r="K34" s="6" t="s">
        <v>64</v>
      </c>
      <c r="L34" s="6" t="s">
        <v>64</v>
      </c>
      <c r="M34" s="6" t="s">
        <v>64</v>
      </c>
      <c r="N34" s="6" t="s">
        <v>64</v>
      </c>
      <c r="O34" s="6" t="s">
        <v>64</v>
      </c>
      <c r="P34" s="6" t="s">
        <v>64</v>
      </c>
      <c r="Q34" s="6" t="s">
        <v>64</v>
      </c>
      <c r="R34" s="6" t="s">
        <v>64</v>
      </c>
      <c r="S34" s="6" t="s">
        <v>64</v>
      </c>
      <c r="T34" s="6" t="s">
        <v>64</v>
      </c>
      <c r="U34" s="6" t="s">
        <v>64</v>
      </c>
      <c r="V34" s="6" t="s">
        <v>64</v>
      </c>
      <c r="W34" s="6" t="s">
        <v>64</v>
      </c>
      <c r="X34" s="6" t="s">
        <v>64</v>
      </c>
      <c r="Y34" s="6" t="s">
        <v>64</v>
      </c>
      <c r="Z34" s="6" t="s">
        <v>64</v>
      </c>
    </row>
    <row r="35" spans="1:26">
      <c r="C35" s="6" t="s">
        <v>64</v>
      </c>
      <c r="D35" s="6" t="s">
        <v>64</v>
      </c>
      <c r="E35" s="6" t="s">
        <v>64</v>
      </c>
      <c r="F35" s="6" t="s">
        <v>64</v>
      </c>
      <c r="G35" s="6" t="s">
        <v>64</v>
      </c>
      <c r="H35" s="6" t="s">
        <v>64</v>
      </c>
      <c r="I35" s="6" t="s">
        <v>64</v>
      </c>
      <c r="J35" s="6" t="s">
        <v>64</v>
      </c>
      <c r="K35" s="6" t="s">
        <v>64</v>
      </c>
      <c r="L35" s="6" t="s">
        <v>64</v>
      </c>
      <c r="M35" s="6" t="s">
        <v>64</v>
      </c>
      <c r="N35" s="6" t="s">
        <v>64</v>
      </c>
      <c r="O35" s="6" t="s">
        <v>64</v>
      </c>
      <c r="P35" s="6" t="s">
        <v>64</v>
      </c>
      <c r="Q35" s="6" t="s">
        <v>64</v>
      </c>
      <c r="R35" s="6" t="s">
        <v>64</v>
      </c>
      <c r="S35" s="6" t="s">
        <v>64</v>
      </c>
      <c r="T35" s="6" t="s">
        <v>64</v>
      </c>
      <c r="U35" s="6" t="s">
        <v>64</v>
      </c>
      <c r="V35" s="6" t="s">
        <v>64</v>
      </c>
      <c r="W35" s="6" t="s">
        <v>64</v>
      </c>
      <c r="X35" s="6" t="s">
        <v>64</v>
      </c>
      <c r="Y35" s="6" t="s">
        <v>64</v>
      </c>
      <c r="Z35" s="6" t="s">
        <v>64</v>
      </c>
    </row>
    <row r="36" spans="1:26">
      <c r="C36" s="6" t="s">
        <v>64</v>
      </c>
      <c r="D36" s="6" t="s">
        <v>64</v>
      </c>
      <c r="E36" s="6" t="s">
        <v>64</v>
      </c>
      <c r="F36" s="6" t="s">
        <v>64</v>
      </c>
      <c r="G36" s="6" t="s">
        <v>64</v>
      </c>
      <c r="H36" s="6" t="s">
        <v>64</v>
      </c>
      <c r="I36" s="6" t="s">
        <v>64</v>
      </c>
      <c r="J36" s="6" t="s">
        <v>64</v>
      </c>
      <c r="K36" s="6" t="s">
        <v>64</v>
      </c>
      <c r="L36" s="6" t="s">
        <v>64</v>
      </c>
      <c r="M36" s="6" t="s">
        <v>64</v>
      </c>
      <c r="N36" s="6" t="s">
        <v>64</v>
      </c>
      <c r="O36" s="6" t="s">
        <v>64</v>
      </c>
      <c r="P36" s="6" t="s">
        <v>64</v>
      </c>
      <c r="Q36" s="6" t="s">
        <v>64</v>
      </c>
      <c r="R36" s="6" t="s">
        <v>64</v>
      </c>
      <c r="S36" s="6" t="s">
        <v>64</v>
      </c>
      <c r="T36" s="6" t="s">
        <v>64</v>
      </c>
      <c r="U36" s="6" t="s">
        <v>64</v>
      </c>
      <c r="V36" s="6" t="s">
        <v>64</v>
      </c>
      <c r="W36" s="6" t="s">
        <v>64</v>
      </c>
      <c r="X36" s="6" t="s">
        <v>64</v>
      </c>
      <c r="Y36" s="6" t="s">
        <v>64</v>
      </c>
      <c r="Z36" s="6" t="s">
        <v>64</v>
      </c>
    </row>
    <row r="37" spans="1:26">
      <c r="C37" s="6" t="s">
        <v>64</v>
      </c>
      <c r="D37" s="6" t="s">
        <v>64</v>
      </c>
      <c r="E37" s="6" t="s">
        <v>64</v>
      </c>
      <c r="F37" s="6" t="s">
        <v>64</v>
      </c>
      <c r="G37" s="6" t="s">
        <v>64</v>
      </c>
      <c r="H37" s="6" t="s">
        <v>64</v>
      </c>
      <c r="I37" s="6" t="s">
        <v>64</v>
      </c>
      <c r="J37" s="6" t="s">
        <v>64</v>
      </c>
      <c r="K37" s="6" t="s">
        <v>64</v>
      </c>
      <c r="L37" s="6" t="s">
        <v>64</v>
      </c>
      <c r="M37" s="6" t="s">
        <v>64</v>
      </c>
      <c r="N37" s="6" t="s">
        <v>64</v>
      </c>
      <c r="O37" s="6" t="s">
        <v>64</v>
      </c>
      <c r="P37" s="6" t="s">
        <v>64</v>
      </c>
      <c r="Q37" s="6" t="s">
        <v>64</v>
      </c>
      <c r="R37" s="6" t="s">
        <v>64</v>
      </c>
      <c r="S37" s="6" t="s">
        <v>64</v>
      </c>
      <c r="T37" s="6" t="s">
        <v>64</v>
      </c>
      <c r="U37" s="6" t="s">
        <v>64</v>
      </c>
      <c r="V37" s="6" t="s">
        <v>64</v>
      </c>
      <c r="W37" s="6" t="s">
        <v>64</v>
      </c>
      <c r="X37" s="6" t="s">
        <v>64</v>
      </c>
      <c r="Y37" s="6" t="s">
        <v>64</v>
      </c>
      <c r="Z37" s="6" t="s">
        <v>64</v>
      </c>
    </row>
    <row r="38" spans="1:26">
      <c r="C38" s="6" t="s">
        <v>64</v>
      </c>
      <c r="D38" s="6" t="s">
        <v>64</v>
      </c>
      <c r="E38" s="6" t="s">
        <v>64</v>
      </c>
      <c r="F38" s="6" t="s">
        <v>64</v>
      </c>
      <c r="G38" s="6" t="s">
        <v>64</v>
      </c>
      <c r="H38" s="6" t="s">
        <v>64</v>
      </c>
      <c r="I38" s="6" t="s">
        <v>64</v>
      </c>
      <c r="J38" s="6" t="s">
        <v>64</v>
      </c>
      <c r="K38" s="6" t="s">
        <v>64</v>
      </c>
      <c r="L38" s="6" t="s">
        <v>64</v>
      </c>
      <c r="M38" s="6" t="s">
        <v>64</v>
      </c>
      <c r="N38" s="6" t="s">
        <v>64</v>
      </c>
      <c r="O38" s="6" t="s">
        <v>64</v>
      </c>
      <c r="P38" s="6" t="s">
        <v>64</v>
      </c>
      <c r="Q38" s="6" t="s">
        <v>64</v>
      </c>
      <c r="R38" s="6" t="s">
        <v>64</v>
      </c>
      <c r="S38" s="6" t="s">
        <v>64</v>
      </c>
      <c r="T38" s="6" t="s">
        <v>64</v>
      </c>
      <c r="U38" s="6" t="s">
        <v>64</v>
      </c>
      <c r="V38" s="6" t="s">
        <v>64</v>
      </c>
      <c r="W38" s="6" t="s">
        <v>64</v>
      </c>
      <c r="X38" s="6" t="s">
        <v>64</v>
      </c>
      <c r="Y38" s="6" t="s">
        <v>64</v>
      </c>
      <c r="Z38" s="6" t="s">
        <v>64</v>
      </c>
    </row>
    <row r="39" spans="1:26">
      <c r="A39" s="6" t="s">
        <v>63</v>
      </c>
    </row>
    <row r="40" spans="1:26">
      <c r="A40" s="6" t="s">
        <v>62</v>
      </c>
    </row>
    <row r="44" spans="1:26">
      <c r="B44" s="6">
        <v>101.561092890681</v>
      </c>
      <c r="C44" s="6">
        <v>237.98705823269401</v>
      </c>
      <c r="D44" s="6">
        <v>191.788524976742</v>
      </c>
      <c r="E44" s="6">
        <v>158.85952253137799</v>
      </c>
      <c r="F44" s="6">
        <v>151.61974094779501</v>
      </c>
      <c r="G44" s="6">
        <v>204.477540613553</v>
      </c>
      <c r="H44" s="6">
        <v>214.55454557806399</v>
      </c>
      <c r="I44" s="6">
        <v>225.66184208727901</v>
      </c>
      <c r="J44" s="6">
        <v>217.713166139999</v>
      </c>
      <c r="K44" s="6">
        <v>225.49218152999501</v>
      </c>
      <c r="L44" s="6">
        <v>195.63861301394701</v>
      </c>
      <c r="M44" s="6">
        <v>194.28547140610399</v>
      </c>
      <c r="N44" s="6">
        <v>212.98591413328299</v>
      </c>
      <c r="O44" s="6">
        <v>228.76527214722501</v>
      </c>
      <c r="P44" s="6">
        <v>203.86338201439</v>
      </c>
      <c r="Q44" s="6">
        <v>303.41252070155298</v>
      </c>
      <c r="R44" s="6">
        <v>249.155080104782</v>
      </c>
      <c r="S44" s="6">
        <v>239.03314740014099</v>
      </c>
      <c r="T44" s="6">
        <v>240.870168812299</v>
      </c>
      <c r="U44" s="6">
        <v>274.12662519837102</v>
      </c>
      <c r="V44" s="6">
        <v>282.64531916725002</v>
      </c>
      <c r="W44" s="6">
        <v>266.88989447150601</v>
      </c>
    </row>
    <row r="45" spans="1:26">
      <c r="B45" s="6">
        <v>120.595884662142</v>
      </c>
      <c r="C45" s="6">
        <v>234.70227382129499</v>
      </c>
      <c r="D45" s="6">
        <v>187.41353934006</v>
      </c>
      <c r="E45" s="6">
        <v>191.63655999981901</v>
      </c>
      <c r="F45" s="6">
        <v>141.64601324172801</v>
      </c>
      <c r="G45" s="6">
        <v>215.58718244088499</v>
      </c>
      <c r="H45" s="6">
        <v>210.46592642667099</v>
      </c>
      <c r="I45" s="6">
        <v>227.69649866185199</v>
      </c>
      <c r="J45" s="6">
        <v>245.254422029815</v>
      </c>
      <c r="K45" s="6">
        <v>222.67744544039701</v>
      </c>
      <c r="L45" s="6">
        <v>228.00007458730499</v>
      </c>
      <c r="M45" s="6">
        <v>191.466934813432</v>
      </c>
      <c r="N45" s="6">
        <v>248.663175268679</v>
      </c>
      <c r="O45" s="6">
        <v>221.589678931214</v>
      </c>
      <c r="P45" s="6">
        <v>237.96365129067601</v>
      </c>
      <c r="Q45" s="6">
        <v>311.94195016345998</v>
      </c>
      <c r="R45" s="6">
        <v>266.46061077706503</v>
      </c>
      <c r="S45" s="6">
        <v>225.95088497704199</v>
      </c>
      <c r="T45" s="6">
        <v>255.454602658699</v>
      </c>
      <c r="U45" s="6">
        <v>281.99621545649501</v>
      </c>
      <c r="V45" s="6">
        <v>276.39696930242297</v>
      </c>
      <c r="W45" s="6">
        <v>258.75635673130699</v>
      </c>
    </row>
    <row r="46" spans="1:26">
      <c r="B46" s="6">
        <v>139.62666921554299</v>
      </c>
      <c r="C46" s="6">
        <v>256.51751504224598</v>
      </c>
      <c r="D46" s="6">
        <v>187.16933575869899</v>
      </c>
      <c r="E46" s="6">
        <v>159.345769831094</v>
      </c>
      <c r="F46" s="6">
        <v>154.712840993192</v>
      </c>
      <c r="G46" s="6">
        <v>215.49312443501</v>
      </c>
      <c r="H46" s="6">
        <v>219.22382287149901</v>
      </c>
      <c r="I46" s="6">
        <v>220.096463420368</v>
      </c>
      <c r="J46" s="6">
        <v>264.076069060169</v>
      </c>
      <c r="K46" s="6">
        <v>225.47632693233101</v>
      </c>
      <c r="L46" s="6">
        <v>216.05261154536501</v>
      </c>
      <c r="M46" s="6">
        <v>215.45809775180001</v>
      </c>
      <c r="N46" s="6">
        <v>257.19772104888398</v>
      </c>
      <c r="O46" s="6">
        <v>235.20304690321501</v>
      </c>
      <c r="P46" s="6">
        <v>240.72104633279699</v>
      </c>
      <c r="Q46" s="6">
        <v>319.12060126290299</v>
      </c>
      <c r="R46" s="6">
        <v>281.26684866271898</v>
      </c>
      <c r="S46" s="6">
        <v>258.52130054810198</v>
      </c>
      <c r="T46" s="6">
        <v>259.413152381592</v>
      </c>
      <c r="U46" s="6">
        <v>315.37300046547</v>
      </c>
      <c r="V46" s="6">
        <v>301.53449227942002</v>
      </c>
      <c r="W46" s="6">
        <v>304.10383836094599</v>
      </c>
    </row>
    <row r="47" spans="1:26">
      <c r="B47" s="6">
        <f t="shared" ref="B47:W47" si="4">SUM(B44:B46)</f>
        <v>361.783646768366</v>
      </c>
      <c r="C47" s="6">
        <f t="shared" si="4"/>
        <v>729.20684709623492</v>
      </c>
      <c r="D47" s="6">
        <f t="shared" si="4"/>
        <v>566.37140007550101</v>
      </c>
      <c r="E47" s="6">
        <f t="shared" si="4"/>
        <v>509.84185236229098</v>
      </c>
      <c r="F47" s="6">
        <f t="shared" si="4"/>
        <v>447.97859518271503</v>
      </c>
      <c r="G47" s="6">
        <f t="shared" si="4"/>
        <v>635.55784748944802</v>
      </c>
      <c r="H47" s="6">
        <f t="shared" si="4"/>
        <v>644.24429487623399</v>
      </c>
      <c r="I47" s="6">
        <f t="shared" si="4"/>
        <v>673.45480416949897</v>
      </c>
      <c r="J47" s="6">
        <f t="shared" si="4"/>
        <v>727.04365722998295</v>
      </c>
      <c r="K47" s="6">
        <f t="shared" si="4"/>
        <v>673.64595390272302</v>
      </c>
      <c r="L47" s="6">
        <f t="shared" si="4"/>
        <v>639.69129914661698</v>
      </c>
      <c r="M47" s="6">
        <f t="shared" si="4"/>
        <v>601.21050397133604</v>
      </c>
      <c r="N47" s="6">
        <f t="shared" si="4"/>
        <v>718.84681045084596</v>
      </c>
      <c r="O47" s="6">
        <f t="shared" si="4"/>
        <v>685.55799798165401</v>
      </c>
      <c r="P47" s="6">
        <f t="shared" si="4"/>
        <v>682.548079637863</v>
      </c>
      <c r="Q47" s="6">
        <f t="shared" si="4"/>
        <v>934.47507212791584</v>
      </c>
      <c r="R47" s="6">
        <f t="shared" si="4"/>
        <v>796.88253954456604</v>
      </c>
      <c r="S47" s="6">
        <f t="shared" si="4"/>
        <v>723.50533292528496</v>
      </c>
      <c r="T47" s="6">
        <f t="shared" si="4"/>
        <v>755.73792385259003</v>
      </c>
      <c r="U47" s="6">
        <f t="shared" si="4"/>
        <v>871.49584112033597</v>
      </c>
      <c r="V47" s="6">
        <f t="shared" si="4"/>
        <v>860.5767807490929</v>
      </c>
      <c r="W47" s="6">
        <f t="shared" si="4"/>
        <v>829.75008956375905</v>
      </c>
    </row>
    <row r="48" spans="1:26">
      <c r="B48" s="6">
        <f t="shared" ref="B48:W48" si="5">B47/3</f>
        <v>120.59454892278866</v>
      </c>
      <c r="C48" s="6">
        <f t="shared" si="5"/>
        <v>243.06894903207831</v>
      </c>
      <c r="D48" s="6">
        <f t="shared" si="5"/>
        <v>188.79046669183367</v>
      </c>
      <c r="E48" s="6">
        <f t="shared" si="5"/>
        <v>169.94728412076367</v>
      </c>
      <c r="F48" s="6">
        <f t="shared" si="5"/>
        <v>149.32619839423833</v>
      </c>
      <c r="G48" s="6">
        <f t="shared" si="5"/>
        <v>211.85261582981602</v>
      </c>
      <c r="H48" s="6">
        <f t="shared" si="5"/>
        <v>214.748098292078</v>
      </c>
      <c r="I48" s="6">
        <f t="shared" si="5"/>
        <v>224.48493472316633</v>
      </c>
      <c r="J48" s="6">
        <f t="shared" si="5"/>
        <v>242.34788574332765</v>
      </c>
      <c r="K48" s="6">
        <f t="shared" si="5"/>
        <v>224.54865130090766</v>
      </c>
      <c r="L48" s="6">
        <f t="shared" si="5"/>
        <v>213.23043304887233</v>
      </c>
      <c r="M48" s="6">
        <f t="shared" si="5"/>
        <v>200.40350132377867</v>
      </c>
      <c r="N48" s="6">
        <f t="shared" si="5"/>
        <v>239.61560348361533</v>
      </c>
      <c r="O48" s="6">
        <f t="shared" si="5"/>
        <v>228.51933266055133</v>
      </c>
      <c r="P48" s="6">
        <f t="shared" si="5"/>
        <v>227.51602654595433</v>
      </c>
      <c r="Q48" s="6">
        <f t="shared" si="5"/>
        <v>311.49169070930526</v>
      </c>
      <c r="R48" s="6">
        <f t="shared" si="5"/>
        <v>265.62751318152203</v>
      </c>
      <c r="S48" s="6">
        <f t="shared" si="5"/>
        <v>241.16844430842832</v>
      </c>
      <c r="T48" s="6">
        <f t="shared" si="5"/>
        <v>251.91264128419667</v>
      </c>
      <c r="U48" s="6">
        <f t="shared" si="5"/>
        <v>290.49861370677866</v>
      </c>
      <c r="V48" s="6">
        <f t="shared" si="5"/>
        <v>286.85892691636428</v>
      </c>
      <c r="W48" s="6">
        <f t="shared" si="5"/>
        <v>276.5833631879197</v>
      </c>
    </row>
    <row r="49" spans="2:23">
      <c r="C49" s="6">
        <f t="shared" ref="C49:W49" si="6">C48-120.594549</f>
        <v>122.47440003207831</v>
      </c>
      <c r="D49" s="6">
        <f t="shared" si="6"/>
        <v>68.195917691833671</v>
      </c>
      <c r="E49" s="6">
        <f t="shared" si="6"/>
        <v>49.352735120763668</v>
      </c>
      <c r="F49" s="6">
        <f t="shared" si="6"/>
        <v>28.731649394238332</v>
      </c>
      <c r="G49" s="6">
        <f t="shared" si="6"/>
        <v>91.258066829816016</v>
      </c>
      <c r="H49" s="6">
        <f t="shared" si="6"/>
        <v>94.153549292077997</v>
      </c>
      <c r="I49" s="6">
        <f t="shared" si="6"/>
        <v>103.89038572316633</v>
      </c>
      <c r="J49" s="6">
        <f t="shared" si="6"/>
        <v>121.75333674332765</v>
      </c>
      <c r="K49" s="6">
        <f t="shared" si="6"/>
        <v>103.95410230090766</v>
      </c>
      <c r="L49" s="6">
        <f t="shared" si="6"/>
        <v>92.635884048872327</v>
      </c>
      <c r="M49" s="6">
        <f t="shared" si="6"/>
        <v>79.808952323778669</v>
      </c>
      <c r="N49" s="6">
        <f t="shared" si="6"/>
        <v>119.02105448361533</v>
      </c>
      <c r="O49" s="6">
        <f t="shared" si="6"/>
        <v>107.92478366055133</v>
      </c>
      <c r="P49" s="6">
        <f t="shared" si="6"/>
        <v>106.92147754595433</v>
      </c>
      <c r="Q49" s="6">
        <f t="shared" si="6"/>
        <v>190.89714170930526</v>
      </c>
      <c r="R49" s="6">
        <f t="shared" si="6"/>
        <v>145.03296418152203</v>
      </c>
      <c r="S49" s="6">
        <f t="shared" si="6"/>
        <v>120.57389530842832</v>
      </c>
      <c r="T49" s="6">
        <f t="shared" si="6"/>
        <v>131.31809228419667</v>
      </c>
      <c r="U49" s="6">
        <f t="shared" si="6"/>
        <v>169.90406470677866</v>
      </c>
      <c r="V49" s="6">
        <f t="shared" si="6"/>
        <v>166.26437791636428</v>
      </c>
      <c r="W49" s="6">
        <f t="shared" si="6"/>
        <v>155.9888141879197</v>
      </c>
    </row>
    <row r="52" spans="2:23">
      <c r="B52" s="6">
        <v>121.20977632081799</v>
      </c>
      <c r="C52" s="6">
        <v>166.62190415752599</v>
      </c>
      <c r="D52" s="6">
        <v>49.274098301081096</v>
      </c>
      <c r="E52" s="6">
        <v>37.3674161994212</v>
      </c>
      <c r="F52" s="6">
        <v>42.327418288389602</v>
      </c>
      <c r="G52" s="6">
        <v>54.005970594086001</v>
      </c>
      <c r="H52" s="6">
        <v>45.228682417279202</v>
      </c>
      <c r="I52" s="6">
        <v>47.978218127511099</v>
      </c>
      <c r="J52" s="6">
        <v>181.41493719101399</v>
      </c>
      <c r="K52" s="6">
        <v>36.372809674802298</v>
      </c>
      <c r="L52" s="6">
        <v>46.030351514293102</v>
      </c>
      <c r="M52" s="6">
        <v>39.293003106786401</v>
      </c>
      <c r="N52" s="6">
        <v>80.643231454831394</v>
      </c>
      <c r="O52" s="6">
        <v>54.646926818634803</v>
      </c>
      <c r="P52" s="6">
        <v>49.140750828304803</v>
      </c>
      <c r="Q52" s="6">
        <v>307.59853446018201</v>
      </c>
      <c r="R52" s="6">
        <v>267.898256727751</v>
      </c>
      <c r="S52" s="6">
        <v>132.48857243123601</v>
      </c>
      <c r="T52" s="6">
        <v>62.982292488161299</v>
      </c>
      <c r="U52" s="6">
        <v>299.27347281657097</v>
      </c>
      <c r="V52" s="6">
        <v>304.450468686568</v>
      </c>
      <c r="W52" s="6">
        <v>294.17119315147602</v>
      </c>
    </row>
    <row r="53" spans="2:23">
      <c r="B53" s="6">
        <v>67.984186794417099</v>
      </c>
      <c r="C53" s="6">
        <v>162.252222322893</v>
      </c>
      <c r="D53" s="6">
        <v>43.644513352187403</v>
      </c>
      <c r="E53" s="6">
        <v>38.006516049325</v>
      </c>
      <c r="F53" s="6">
        <v>57.0806360107388</v>
      </c>
      <c r="G53" s="6">
        <v>61.410283564282302</v>
      </c>
      <c r="H53" s="6">
        <v>31.9361065363296</v>
      </c>
      <c r="I53" s="6">
        <v>44.125638736572803</v>
      </c>
      <c r="J53" s="6">
        <v>171.45033113077699</v>
      </c>
      <c r="K53" s="6">
        <v>46.571962771204497</v>
      </c>
      <c r="L53" s="6">
        <v>54.446168431780002</v>
      </c>
      <c r="M53" s="6">
        <v>44.014636151450397</v>
      </c>
      <c r="N53" s="6">
        <v>83.934892699293499</v>
      </c>
      <c r="O53" s="6">
        <v>76.228196163201702</v>
      </c>
      <c r="P53" s="6">
        <v>59.371791569726298</v>
      </c>
      <c r="Q53" s="6">
        <v>319.73181998755098</v>
      </c>
      <c r="R53" s="6">
        <v>254.37926917581601</v>
      </c>
      <c r="S53" s="6">
        <v>136.75858321555299</v>
      </c>
      <c r="T53" s="6">
        <v>54.323166575962901</v>
      </c>
      <c r="U53" s="6">
        <v>303.367269085685</v>
      </c>
      <c r="V53" s="6">
        <v>303.83461063297102</v>
      </c>
      <c r="W53" s="6">
        <v>278.35013681523498</v>
      </c>
    </row>
    <row r="54" spans="2:23">
      <c r="B54" s="6">
        <v>84.652286123475307</v>
      </c>
      <c r="C54" s="6">
        <v>168.71985804787599</v>
      </c>
      <c r="D54" s="6">
        <v>33.470624437816497</v>
      </c>
      <c r="E54" s="6">
        <v>48.222540879109403</v>
      </c>
      <c r="F54" s="6">
        <v>45.513131563696497</v>
      </c>
      <c r="G54" s="6">
        <v>49.3084124627077</v>
      </c>
      <c r="H54" s="6">
        <v>48.850228068135998</v>
      </c>
      <c r="I54" s="6">
        <v>45.187171565783103</v>
      </c>
      <c r="J54" s="6">
        <v>168.38870808573299</v>
      </c>
      <c r="K54" s="6">
        <v>44.225375029623798</v>
      </c>
      <c r="L54" s="6">
        <v>45.750299620795303</v>
      </c>
      <c r="M54" s="6">
        <v>52.217806290495801</v>
      </c>
      <c r="N54" s="6">
        <v>60.097853405149401</v>
      </c>
      <c r="O54" s="6">
        <v>51.238909095394199</v>
      </c>
      <c r="P54" s="6">
        <v>52.838625272499399</v>
      </c>
      <c r="Q54" s="6">
        <v>317.31483178336299</v>
      </c>
      <c r="R54" s="6">
        <v>223.96756033227001</v>
      </c>
      <c r="S54" s="6">
        <v>127.407363354323</v>
      </c>
      <c r="T54" s="6">
        <v>66.957318250710202</v>
      </c>
      <c r="U54" s="6">
        <v>297.03029643005698</v>
      </c>
      <c r="V54" s="6">
        <v>287.008594051518</v>
      </c>
      <c r="W54" s="6">
        <v>290.22907394365802</v>
      </c>
    </row>
    <row r="55" spans="2:23">
      <c r="B55" s="6">
        <f t="shared" ref="B55:W55" si="7">SUM(B52:B54)</f>
        <v>273.84624923871036</v>
      </c>
      <c r="C55" s="6">
        <f t="shared" si="7"/>
        <v>497.59398452829498</v>
      </c>
      <c r="D55" s="6">
        <f t="shared" si="7"/>
        <v>126.389236091085</v>
      </c>
      <c r="E55" s="6">
        <f t="shared" si="7"/>
        <v>123.5964731278556</v>
      </c>
      <c r="F55" s="6">
        <f t="shared" si="7"/>
        <v>144.9211858628249</v>
      </c>
      <c r="G55" s="6">
        <f t="shared" si="7"/>
        <v>164.72466662107601</v>
      </c>
      <c r="H55" s="6">
        <f t="shared" si="7"/>
        <v>126.0150170217448</v>
      </c>
      <c r="I55" s="6">
        <f t="shared" si="7"/>
        <v>137.291028429867</v>
      </c>
      <c r="J55" s="6">
        <f t="shared" si="7"/>
        <v>521.25397640752396</v>
      </c>
      <c r="K55" s="6">
        <f t="shared" si="7"/>
        <v>127.17014747563059</v>
      </c>
      <c r="L55" s="6">
        <f t="shared" si="7"/>
        <v>146.22681956686841</v>
      </c>
      <c r="M55" s="6">
        <f t="shared" si="7"/>
        <v>135.52544554873259</v>
      </c>
      <c r="N55" s="6">
        <f t="shared" si="7"/>
        <v>224.67597755927432</v>
      </c>
      <c r="O55" s="6">
        <f t="shared" si="7"/>
        <v>182.11403207723072</v>
      </c>
      <c r="P55" s="6">
        <f t="shared" si="7"/>
        <v>161.35116767053051</v>
      </c>
      <c r="Q55" s="6">
        <f t="shared" si="7"/>
        <v>944.64518623109598</v>
      </c>
      <c r="R55" s="6">
        <f t="shared" si="7"/>
        <v>746.24508623583711</v>
      </c>
      <c r="S55" s="6">
        <f t="shared" si="7"/>
        <v>396.65451900111202</v>
      </c>
      <c r="T55" s="6">
        <f t="shared" si="7"/>
        <v>184.26277731483441</v>
      </c>
      <c r="U55" s="6">
        <f t="shared" si="7"/>
        <v>899.67103833231295</v>
      </c>
      <c r="V55" s="6">
        <f t="shared" si="7"/>
        <v>895.29367337105703</v>
      </c>
      <c r="W55" s="6">
        <f t="shared" si="7"/>
        <v>862.75040391036896</v>
      </c>
    </row>
    <row r="56" spans="2:23">
      <c r="B56" s="6">
        <f t="shared" ref="B56:W56" si="8">B55/3</f>
        <v>91.282083079570114</v>
      </c>
      <c r="C56" s="6">
        <f t="shared" si="8"/>
        <v>165.86466150943167</v>
      </c>
      <c r="D56" s="6">
        <f t="shared" si="8"/>
        <v>42.129745363695001</v>
      </c>
      <c r="E56" s="6">
        <f t="shared" si="8"/>
        <v>41.198824375951865</v>
      </c>
      <c r="F56" s="6">
        <f t="shared" si="8"/>
        <v>48.307061954274964</v>
      </c>
      <c r="G56" s="6">
        <f t="shared" si="8"/>
        <v>54.908222207025339</v>
      </c>
      <c r="H56" s="6">
        <f t="shared" si="8"/>
        <v>42.00500567391493</v>
      </c>
      <c r="I56" s="6">
        <f t="shared" si="8"/>
        <v>45.763676143288997</v>
      </c>
      <c r="J56" s="6">
        <f t="shared" si="8"/>
        <v>173.75132546917465</v>
      </c>
      <c r="K56" s="6">
        <f t="shared" si="8"/>
        <v>42.390049158543526</v>
      </c>
      <c r="L56" s="6">
        <f t="shared" si="8"/>
        <v>48.74227318895614</v>
      </c>
      <c r="M56" s="6">
        <f t="shared" si="8"/>
        <v>45.175148516244199</v>
      </c>
      <c r="N56" s="6">
        <f t="shared" si="8"/>
        <v>74.891992519758105</v>
      </c>
      <c r="O56" s="6">
        <f t="shared" si="8"/>
        <v>60.704677359076904</v>
      </c>
      <c r="P56" s="6">
        <f t="shared" si="8"/>
        <v>53.783722556843507</v>
      </c>
      <c r="Q56" s="6">
        <f t="shared" si="8"/>
        <v>314.88172874369866</v>
      </c>
      <c r="R56" s="6">
        <f t="shared" si="8"/>
        <v>248.74836207861236</v>
      </c>
      <c r="S56" s="6">
        <f t="shared" si="8"/>
        <v>132.21817300037068</v>
      </c>
      <c r="T56" s="6">
        <f t="shared" si="8"/>
        <v>61.420925771611472</v>
      </c>
      <c r="U56" s="6">
        <f t="shared" si="8"/>
        <v>299.89034611077096</v>
      </c>
      <c r="V56" s="6">
        <f t="shared" si="8"/>
        <v>298.43122445701903</v>
      </c>
      <c r="W56" s="6">
        <f t="shared" si="8"/>
        <v>287.58346797012297</v>
      </c>
    </row>
    <row r="57" spans="2:23">
      <c r="C57" s="6">
        <f t="shared" ref="C57:W57" si="9">C56-91.2820831</f>
        <v>74.582578409431676</v>
      </c>
      <c r="D57" s="6">
        <f t="shared" si="9"/>
        <v>-49.152337736304993</v>
      </c>
      <c r="E57" s="6">
        <f t="shared" si="9"/>
        <v>-50.083258724048129</v>
      </c>
      <c r="F57" s="6">
        <f t="shared" si="9"/>
        <v>-42.97502114572503</v>
      </c>
      <c r="G57" s="6">
        <f t="shared" si="9"/>
        <v>-36.373860892974655</v>
      </c>
      <c r="H57" s="6">
        <f t="shared" si="9"/>
        <v>-49.277077426085064</v>
      </c>
      <c r="I57" s="6">
        <f t="shared" si="9"/>
        <v>-45.518406956710997</v>
      </c>
      <c r="J57" s="6">
        <f t="shared" si="9"/>
        <v>82.469242369174651</v>
      </c>
      <c r="K57" s="6">
        <f t="shared" si="9"/>
        <v>-48.892033941456468</v>
      </c>
      <c r="L57" s="6">
        <f t="shared" si="9"/>
        <v>-42.539809911043854</v>
      </c>
      <c r="M57" s="6">
        <f t="shared" si="9"/>
        <v>-46.106934583755795</v>
      </c>
      <c r="N57" s="6">
        <f t="shared" si="9"/>
        <v>-16.390090580241889</v>
      </c>
      <c r="O57" s="6">
        <f t="shared" si="9"/>
        <v>-30.577405740923091</v>
      </c>
      <c r="P57" s="6">
        <f t="shared" si="9"/>
        <v>-37.498360543156487</v>
      </c>
      <c r="Q57" s="6">
        <f t="shared" si="9"/>
        <v>223.59964564369866</v>
      </c>
      <c r="R57" s="6">
        <f t="shared" si="9"/>
        <v>157.46627897861237</v>
      </c>
      <c r="S57" s="6">
        <f t="shared" si="9"/>
        <v>40.936089900370689</v>
      </c>
      <c r="T57" s="6">
        <f t="shared" si="9"/>
        <v>-29.861157328388522</v>
      </c>
      <c r="U57" s="6">
        <f t="shared" si="9"/>
        <v>208.60826301077097</v>
      </c>
      <c r="V57" s="6">
        <f t="shared" si="9"/>
        <v>207.14914135701903</v>
      </c>
      <c r="W57" s="6">
        <f t="shared" si="9"/>
        <v>196.30138487012297</v>
      </c>
    </row>
    <row r="61" spans="2:23">
      <c r="C61" s="66" t="s">
        <v>58</v>
      </c>
      <c r="D61" s="66"/>
      <c r="E61" s="66"/>
      <c r="F61" s="66" t="s">
        <v>57</v>
      </c>
      <c r="G61" s="66"/>
      <c r="H61" s="66"/>
      <c r="I61" s="66" t="s">
        <v>56</v>
      </c>
      <c r="J61" s="66"/>
      <c r="K61" s="66"/>
      <c r="L61" s="66" t="s">
        <v>55</v>
      </c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 spans="2:23">
      <c r="C62" s="6" t="s">
        <v>61</v>
      </c>
      <c r="D62" s="6" t="s">
        <v>60</v>
      </c>
      <c r="E62" s="7" t="s">
        <v>59</v>
      </c>
      <c r="F62" s="6" t="s">
        <v>61</v>
      </c>
      <c r="G62" s="6" t="s">
        <v>60</v>
      </c>
      <c r="H62" s="7" t="s">
        <v>59</v>
      </c>
      <c r="I62" s="6" t="s">
        <v>61</v>
      </c>
      <c r="J62" s="6" t="s">
        <v>60</v>
      </c>
      <c r="K62" s="7" t="s">
        <v>59</v>
      </c>
      <c r="L62" s="6" t="s">
        <v>61</v>
      </c>
      <c r="M62" s="6" t="s">
        <v>60</v>
      </c>
      <c r="N62" s="7" t="s">
        <v>59</v>
      </c>
      <c r="Q62" s="7"/>
      <c r="T62" s="7"/>
      <c r="W62" s="7"/>
    </row>
    <row r="63" spans="2:23">
      <c r="B63" s="6" t="s">
        <v>54</v>
      </c>
      <c r="C63" s="6">
        <v>142.49770790423429</v>
      </c>
      <c r="D63" s="6">
        <v>160.40868431060699</v>
      </c>
      <c r="E63" s="6">
        <v>193.22568892265667</v>
      </c>
      <c r="F63" s="6">
        <v>73.925824172096355</v>
      </c>
      <c r="G63" s="6">
        <v>126.59350460964532</v>
      </c>
      <c r="H63" s="6">
        <v>176.40145970352035</v>
      </c>
      <c r="I63" s="6">
        <v>63.073650239298019</v>
      </c>
      <c r="J63" s="6">
        <v>105.99982678928967</v>
      </c>
      <c r="K63" s="6">
        <v>151.19965335491963</v>
      </c>
      <c r="L63" s="6">
        <v>49.953390652559335</v>
      </c>
      <c r="M63" s="6">
        <v>96.923740985350662</v>
      </c>
      <c r="N63" s="6">
        <v>137.76068887328566</v>
      </c>
    </row>
    <row r="64" spans="2:23">
      <c r="B64" s="6" t="s">
        <v>53</v>
      </c>
      <c r="C64" s="6">
        <v>97.455820829007692</v>
      </c>
      <c r="D64" s="6">
        <v>102.28252583594268</v>
      </c>
      <c r="E64" s="6">
        <v>262.45369901306304</v>
      </c>
      <c r="F64" s="6">
        <v>-9.7575292125971345</v>
      </c>
      <c r="G64" s="6">
        <v>-11.912720521958697</v>
      </c>
      <c r="H64" s="6">
        <v>198.10478473389765</v>
      </c>
      <c r="I64" s="6">
        <v>-22.5490075733182</v>
      </c>
      <c r="J64" s="6">
        <v>-10.12201659699263</v>
      </c>
      <c r="K64" s="6">
        <v>63.775999784668016</v>
      </c>
      <c r="L64" s="6">
        <v>-14.166083986843866</v>
      </c>
      <c r="M64" s="6">
        <v>-3.2345639838304336</v>
      </c>
      <c r="N64" s="6">
        <v>1.951396410144369</v>
      </c>
    </row>
    <row r="66" spans="2:23">
      <c r="C66" s="66" t="s">
        <v>61</v>
      </c>
      <c r="D66" s="66"/>
      <c r="E66" s="66"/>
      <c r="F66" s="66"/>
      <c r="G66" s="66" t="s">
        <v>60</v>
      </c>
      <c r="H66" s="66"/>
      <c r="I66" s="66"/>
      <c r="J66" s="66"/>
      <c r="K66" s="67" t="s">
        <v>59</v>
      </c>
      <c r="L66" s="67"/>
      <c r="M66" s="67"/>
      <c r="N66" s="67"/>
      <c r="U66" s="7"/>
      <c r="V66" s="7"/>
      <c r="W66" s="7"/>
    </row>
    <row r="67" spans="2:23">
      <c r="C67" s="6" t="s">
        <v>58</v>
      </c>
      <c r="D67" s="6" t="s">
        <v>57</v>
      </c>
      <c r="E67" s="6" t="s">
        <v>56</v>
      </c>
      <c r="F67" s="6" t="s">
        <v>55</v>
      </c>
      <c r="G67" s="6" t="s">
        <v>58</v>
      </c>
      <c r="H67" s="6" t="s">
        <v>57</v>
      </c>
      <c r="I67" s="6" t="s">
        <v>56</v>
      </c>
      <c r="J67" s="6" t="s">
        <v>55</v>
      </c>
      <c r="K67" s="7" t="s">
        <v>58</v>
      </c>
      <c r="L67" s="7" t="s">
        <v>57</v>
      </c>
      <c r="M67" s="7" t="s">
        <v>56</v>
      </c>
      <c r="N67" s="7" t="s">
        <v>55</v>
      </c>
      <c r="U67" s="7"/>
      <c r="V67" s="7"/>
      <c r="W67" s="7"/>
    </row>
    <row r="68" spans="2:23">
      <c r="B68" s="6" t="s">
        <v>54</v>
      </c>
      <c r="C68" s="6">
        <v>142.49770790423429</v>
      </c>
      <c r="D68" s="6">
        <v>73.925824172096355</v>
      </c>
      <c r="E68" s="6">
        <v>63.073650239298019</v>
      </c>
      <c r="F68" s="6">
        <v>49.953390652559335</v>
      </c>
      <c r="G68" s="6">
        <v>160.40868431060699</v>
      </c>
      <c r="H68" s="6">
        <v>126.59350460964532</v>
      </c>
      <c r="I68" s="6">
        <v>105.99982678928967</v>
      </c>
      <c r="J68" s="6">
        <v>96.923740985350662</v>
      </c>
      <c r="K68" s="6">
        <v>193.22568892265667</v>
      </c>
      <c r="L68" s="6">
        <v>176.40145970352035</v>
      </c>
      <c r="M68" s="6">
        <v>151.19965335491963</v>
      </c>
      <c r="N68" s="6">
        <v>137.76068887328566</v>
      </c>
    </row>
    <row r="69" spans="2:23">
      <c r="B69" s="6" t="s">
        <v>53</v>
      </c>
      <c r="C69" s="6">
        <v>97.455820829007692</v>
      </c>
      <c r="D69" s="6">
        <v>-9.7575292125971345</v>
      </c>
      <c r="E69" s="6">
        <v>-22.5490075733182</v>
      </c>
      <c r="F69" s="6">
        <v>-14.166083986843866</v>
      </c>
      <c r="G69" s="6">
        <v>102.28252583594268</v>
      </c>
      <c r="H69" s="6">
        <v>-11.912720521958697</v>
      </c>
      <c r="I69" s="6">
        <v>-10.12201659699263</v>
      </c>
      <c r="J69" s="6">
        <v>-3.2345639838304336</v>
      </c>
      <c r="K69" s="6">
        <v>262.45369901306304</v>
      </c>
      <c r="L69" s="6">
        <v>198.10478473389765</v>
      </c>
      <c r="M69" s="6">
        <v>63.775999784668016</v>
      </c>
      <c r="N69" s="6">
        <v>1.951396410144369</v>
      </c>
    </row>
    <row r="71" spans="2:23">
      <c r="C71" s="6">
        <v>9.3201274325874408</v>
      </c>
      <c r="D71" s="6">
        <v>30.20114949451618</v>
      </c>
      <c r="E71" s="6">
        <v>6.7792303660852458</v>
      </c>
      <c r="F71" s="6">
        <v>12.327996826509372</v>
      </c>
      <c r="G71" s="6">
        <v>14.072844796045118</v>
      </c>
      <c r="H71" s="6">
        <v>17.433287551878415</v>
      </c>
      <c r="I71" s="6">
        <v>20.49874969619124</v>
      </c>
      <c r="J71" s="6">
        <v>6.1416595719596812</v>
      </c>
      <c r="K71" s="6">
        <v>9.8053682527716362</v>
      </c>
      <c r="L71" s="6">
        <v>11.859435519623966</v>
      </c>
      <c r="M71" s="6">
        <v>24.773615089066869</v>
      </c>
      <c r="N71" s="6">
        <v>9.4196402796341765</v>
      </c>
    </row>
    <row r="72" spans="2:23">
      <c r="C72" s="6">
        <v>5.346396456087966</v>
      </c>
      <c r="D72" s="6">
        <v>9.7186084994826416</v>
      </c>
      <c r="E72" s="6">
        <v>8.9795940583697327</v>
      </c>
      <c r="F72" s="6">
        <v>15.804788613915106</v>
      </c>
      <c r="G72" s="6">
        <v>3.5162516202662935</v>
      </c>
      <c r="H72" s="6">
        <v>4.773568430435307</v>
      </c>
      <c r="I72" s="6">
        <v>9.1558987619962124</v>
      </c>
      <c r="J72" s="6">
        <v>9.965166782422715</v>
      </c>
      <c r="K72" s="6">
        <v>7.4815512908076327</v>
      </c>
      <c r="L72" s="6">
        <v>14.905378349046165</v>
      </c>
      <c r="M72" s="6">
        <v>3.9941102292727475</v>
      </c>
      <c r="N72" s="6">
        <v>4.9814028350773709</v>
      </c>
    </row>
  </sheetData>
  <mergeCells count="10">
    <mergeCell ref="R61:T61"/>
    <mergeCell ref="U61:W61"/>
    <mergeCell ref="C66:F66"/>
    <mergeCell ref="G66:J66"/>
    <mergeCell ref="K66:N66"/>
    <mergeCell ref="C61:E61"/>
    <mergeCell ref="F61:H61"/>
    <mergeCell ref="I61:K61"/>
    <mergeCell ref="L61:N61"/>
    <mergeCell ref="O61:Q6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2EDF-6AD1-FD44-B759-DCEDBE817C46}">
  <dimension ref="A1:AD135"/>
  <sheetViews>
    <sheetView topLeftCell="A92" workbookViewId="0">
      <selection activeCell="M52" sqref="M52"/>
    </sheetView>
  </sheetViews>
  <sheetFormatPr baseColWidth="10" defaultRowHeight="16"/>
  <cols>
    <col min="1" max="16384" width="10.83203125" style="16"/>
  </cols>
  <sheetData>
    <row r="1" spans="1:30">
      <c r="A1" s="16" t="s">
        <v>58</v>
      </c>
    </row>
    <row r="2" spans="1:30">
      <c r="A2" s="16" t="s">
        <v>71</v>
      </c>
      <c r="B2" s="16" t="s">
        <v>72</v>
      </c>
      <c r="C2" s="16">
        <v>1.3</v>
      </c>
      <c r="D2" s="16" t="s">
        <v>69</v>
      </c>
      <c r="E2" s="16" t="s">
        <v>68</v>
      </c>
      <c r="F2" s="16" t="s">
        <v>67</v>
      </c>
      <c r="G2" s="16" t="s">
        <v>66</v>
      </c>
      <c r="H2" s="16" t="b">
        <v>0</v>
      </c>
      <c r="I2" s="16">
        <v>1</v>
      </c>
      <c r="O2" s="16">
        <v>1</v>
      </c>
      <c r="Q2" s="16">
        <v>1</v>
      </c>
      <c r="R2" s="16">
        <v>24</v>
      </c>
      <c r="S2" s="16">
        <v>384</v>
      </c>
      <c r="T2" s="16">
        <v>485</v>
      </c>
      <c r="U2" s="16" t="s">
        <v>65</v>
      </c>
      <c r="Y2" s="16">
        <v>0</v>
      </c>
      <c r="AC2" s="16">
        <v>1</v>
      </c>
      <c r="AD2" s="16">
        <v>13</v>
      </c>
    </row>
    <row r="3" spans="1:30"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  <c r="O3" s="16">
        <v>13</v>
      </c>
      <c r="P3" s="16">
        <v>14</v>
      </c>
      <c r="Q3" s="16">
        <v>15</v>
      </c>
      <c r="R3" s="16">
        <v>16</v>
      </c>
      <c r="S3" s="16">
        <v>17</v>
      </c>
      <c r="T3" s="16">
        <v>18</v>
      </c>
      <c r="U3" s="16">
        <v>19</v>
      </c>
      <c r="V3" s="16">
        <v>20</v>
      </c>
      <c r="W3" s="16">
        <v>21</v>
      </c>
      <c r="X3" s="16">
        <v>22</v>
      </c>
      <c r="Y3" s="16">
        <v>23</v>
      </c>
      <c r="Z3" s="16">
        <v>24</v>
      </c>
    </row>
    <row r="4" spans="1:30">
      <c r="C4" s="16">
        <v>2708.7378640776501</v>
      </c>
      <c r="D4" s="16">
        <v>123.93630262296099</v>
      </c>
      <c r="E4" s="16">
        <v>126.652765963177</v>
      </c>
      <c r="F4" s="16">
        <v>164.53637812122199</v>
      </c>
      <c r="G4" s="16">
        <v>169.27657362368001</v>
      </c>
      <c r="H4" s="16">
        <v>146.63906743653899</v>
      </c>
      <c r="I4" s="16">
        <v>215.88177690732601</v>
      </c>
      <c r="J4" s="16">
        <v>207.50082698197701</v>
      </c>
      <c r="K4" s="16">
        <v>237.05350241739001</v>
      </c>
      <c r="L4" s="16">
        <v>282.02505202346299</v>
      </c>
      <c r="M4" s="16">
        <v>261.320040712999</v>
      </c>
      <c r="N4" s="16">
        <v>305.50166704458599</v>
      </c>
      <c r="O4" s="16">
        <v>323.55028085746602</v>
      </c>
      <c r="P4" s="16">
        <v>103.105556603011</v>
      </c>
      <c r="Q4" s="16">
        <v>96.368781773557302</v>
      </c>
      <c r="R4" s="16">
        <v>104.023876497233</v>
      </c>
      <c r="S4" s="16">
        <v>94.947377855608806</v>
      </c>
      <c r="T4" s="16">
        <v>100.019310642782</v>
      </c>
      <c r="U4" s="16">
        <v>115.676330053101</v>
      </c>
      <c r="V4" s="16">
        <v>124.80902281789101</v>
      </c>
      <c r="W4" s="16">
        <v>165.16450645059899</v>
      </c>
      <c r="X4" s="16">
        <v>201.89452828824901</v>
      </c>
      <c r="Y4" s="16">
        <v>226.73782440472399</v>
      </c>
      <c r="Z4" s="16">
        <v>240.50893731004899</v>
      </c>
    </row>
    <row r="5" spans="1:30">
      <c r="C5" s="16">
        <v>3133.6971350613999</v>
      </c>
      <c r="D5" s="16">
        <v>129.477540673345</v>
      </c>
      <c r="E5" s="16">
        <v>139.88863149832599</v>
      </c>
      <c r="F5" s="16">
        <v>149.354992335898</v>
      </c>
      <c r="G5" s="16">
        <v>161.160567876941</v>
      </c>
      <c r="H5" s="16">
        <v>182.572906139064</v>
      </c>
      <c r="I5" s="16">
        <v>231.660816298437</v>
      </c>
      <c r="J5" s="16">
        <v>221.26547070218101</v>
      </c>
      <c r="K5" s="16">
        <v>267.02809082062299</v>
      </c>
      <c r="L5" s="16">
        <v>262.359654470848</v>
      </c>
      <c r="M5" s="16">
        <v>281.83507779234299</v>
      </c>
      <c r="N5" s="16">
        <v>279.963260152663</v>
      </c>
      <c r="O5" s="16">
        <v>293.33066426450398</v>
      </c>
      <c r="P5" s="16">
        <v>100.225966753989</v>
      </c>
      <c r="Q5" s="16">
        <v>101.113399294799</v>
      </c>
      <c r="R5" s="16">
        <v>126.42013099699599</v>
      </c>
      <c r="S5" s="16">
        <v>129.52917478122001</v>
      </c>
      <c r="T5" s="16">
        <v>100.139760423487</v>
      </c>
      <c r="U5" s="16">
        <v>112.240247342423</v>
      </c>
      <c r="V5" s="16">
        <v>143.41653805436101</v>
      </c>
      <c r="W5" s="16">
        <v>185.49215114545399</v>
      </c>
      <c r="X5" s="16">
        <v>186.734876206292</v>
      </c>
      <c r="Y5" s="16">
        <v>214.529343507155</v>
      </c>
      <c r="Z5" s="16">
        <v>251.781589423502</v>
      </c>
    </row>
    <row r="6" spans="1:30">
      <c r="C6" s="16">
        <v>5945.1073985679304</v>
      </c>
      <c r="D6" s="16">
        <v>126.06320009908301</v>
      </c>
      <c r="E6" s="16">
        <v>133.75990581977101</v>
      </c>
      <c r="F6" s="16">
        <v>148.04696349800699</v>
      </c>
      <c r="G6" s="16">
        <v>154.345897067523</v>
      </c>
      <c r="H6" s="16">
        <v>166.703654739261</v>
      </c>
      <c r="I6" s="16">
        <v>219.44592937329</v>
      </c>
      <c r="J6" s="16">
        <v>212.63899173901299</v>
      </c>
      <c r="K6" s="16">
        <v>254.82694480228301</v>
      </c>
      <c r="L6" s="16">
        <v>268.59375080879897</v>
      </c>
      <c r="M6" s="16">
        <v>250.592359199383</v>
      </c>
      <c r="N6" s="16">
        <v>272.13198850305901</v>
      </c>
      <c r="O6" s="16">
        <v>267.18256543190603</v>
      </c>
      <c r="P6" s="16">
        <v>88.302520608939105</v>
      </c>
      <c r="Q6" s="16">
        <v>108.390653419931</v>
      </c>
      <c r="R6" s="16">
        <v>92.928592102373102</v>
      </c>
      <c r="S6" s="16">
        <v>103.097214995135</v>
      </c>
      <c r="T6" s="16">
        <v>101.609439261275</v>
      </c>
      <c r="U6" s="16">
        <v>102.80316079746</v>
      </c>
      <c r="V6" s="16">
        <v>149.89423292892599</v>
      </c>
      <c r="W6" s="16">
        <v>156.36829168132499</v>
      </c>
      <c r="X6" s="16">
        <v>170.43792425988801</v>
      </c>
      <c r="Y6" s="16">
        <v>239.30774671513001</v>
      </c>
      <c r="Z6" s="16">
        <v>256.869126836193</v>
      </c>
    </row>
    <row r="7" spans="1:30">
      <c r="C7" s="16">
        <v>2040.32623470775</v>
      </c>
      <c r="D7" s="16">
        <v>39.727084742855297</v>
      </c>
      <c r="E7" s="16">
        <v>59.368734692111403</v>
      </c>
      <c r="F7" s="16">
        <v>57.9907563125915</v>
      </c>
      <c r="G7" s="16">
        <v>55.284195545496502</v>
      </c>
      <c r="H7" s="16">
        <v>46.363934777995901</v>
      </c>
      <c r="I7" s="16">
        <v>52.372658874767602</v>
      </c>
      <c r="J7" s="16">
        <v>62.0532082267558</v>
      </c>
      <c r="K7" s="16">
        <v>67.384695977110596</v>
      </c>
      <c r="L7" s="16">
        <v>97.7673231821027</v>
      </c>
      <c r="M7" s="16">
        <v>123.04856842673701</v>
      </c>
      <c r="N7" s="16">
        <v>167.881917692027</v>
      </c>
      <c r="O7" s="16">
        <v>202.71083361883601</v>
      </c>
      <c r="P7" s="16">
        <v>50.5112196428461</v>
      </c>
      <c r="Q7" s="16">
        <v>38.1938907952661</v>
      </c>
      <c r="R7" s="16">
        <v>58.246846357440099</v>
      </c>
      <c r="S7" s="16">
        <v>47.937204127206599</v>
      </c>
      <c r="T7" s="16">
        <v>45.027012272940603</v>
      </c>
      <c r="U7" s="16">
        <v>50.019923610949</v>
      </c>
      <c r="V7" s="16">
        <v>52.839320806838401</v>
      </c>
      <c r="W7" s="16">
        <v>53.527856221982603</v>
      </c>
      <c r="X7" s="16">
        <v>63.371666006735602</v>
      </c>
      <c r="Y7" s="16">
        <v>49.2981062724349</v>
      </c>
      <c r="Z7" s="16">
        <v>39.723095120521997</v>
      </c>
    </row>
    <row r="8" spans="1:30">
      <c r="C8" s="16">
        <v>-434.93150684931499</v>
      </c>
      <c r="D8" s="16">
        <v>49.497653856141703</v>
      </c>
      <c r="E8" s="16">
        <v>70.039750119343097</v>
      </c>
      <c r="F8" s="16">
        <v>60.122714593892503</v>
      </c>
      <c r="G8" s="16">
        <v>60.920315867385199</v>
      </c>
      <c r="H8" s="16">
        <v>49.948251010785903</v>
      </c>
      <c r="I8" s="16">
        <v>54.733972160930897</v>
      </c>
      <c r="J8" s="16">
        <v>63.292148992239198</v>
      </c>
      <c r="K8" s="16">
        <v>64.466241640368295</v>
      </c>
      <c r="L8" s="16">
        <v>106.170401250789</v>
      </c>
      <c r="M8" s="16">
        <v>138.30910051845001</v>
      </c>
      <c r="N8" s="16">
        <v>169.519884892465</v>
      </c>
      <c r="O8" s="16">
        <v>189.60438779866701</v>
      </c>
      <c r="P8" s="16">
        <v>52.359992811069198</v>
      </c>
      <c r="Q8" s="16">
        <v>54.8444800261803</v>
      </c>
      <c r="R8" s="16">
        <v>40.304855227790704</v>
      </c>
      <c r="S8" s="16">
        <v>45.174723770960597</v>
      </c>
      <c r="T8" s="16">
        <v>43.689600672538397</v>
      </c>
      <c r="U8" s="16">
        <v>37.290572297483997</v>
      </c>
      <c r="V8" s="16">
        <v>65.259865418893796</v>
      </c>
      <c r="W8" s="16">
        <v>40.567398245998803</v>
      </c>
      <c r="X8" s="16">
        <v>54.122420235095298</v>
      </c>
      <c r="Y8" s="16">
        <v>50.810009935004999</v>
      </c>
      <c r="Z8" s="16">
        <v>67.068226572454407</v>
      </c>
    </row>
    <row r="9" spans="1:30">
      <c r="C9" s="16">
        <v>10399.6316758748</v>
      </c>
      <c r="D9" s="16">
        <v>43.477631989134899</v>
      </c>
      <c r="E9" s="16">
        <v>56.599623802965702</v>
      </c>
      <c r="F9" s="16">
        <v>62.119057408619597</v>
      </c>
      <c r="G9" s="16">
        <v>54.113756245019999</v>
      </c>
      <c r="H9" s="16">
        <v>64.143065131994504</v>
      </c>
      <c r="I9" s="16">
        <v>50.206692398354299</v>
      </c>
      <c r="J9" s="16">
        <v>60.339620598645503</v>
      </c>
      <c r="K9" s="16">
        <v>66.513927283649593</v>
      </c>
      <c r="L9" s="16">
        <v>92.929740775181699</v>
      </c>
      <c r="M9" s="16">
        <v>124.865723557138</v>
      </c>
      <c r="N9" s="16">
        <v>141.335858249148</v>
      </c>
      <c r="O9" s="16">
        <v>195.211160156495</v>
      </c>
      <c r="P9" s="16">
        <v>23.911157665500902</v>
      </c>
      <c r="Q9" s="16">
        <v>32.5161295586527</v>
      </c>
      <c r="R9" s="16">
        <v>52.411693336080297</v>
      </c>
      <c r="S9" s="16">
        <v>34.252212923868598</v>
      </c>
      <c r="T9" s="16">
        <v>44.211346896498</v>
      </c>
      <c r="U9" s="16">
        <v>45.0137916075211</v>
      </c>
      <c r="V9" s="16">
        <v>50.121523852588602</v>
      </c>
      <c r="W9" s="16">
        <v>38.8795506837426</v>
      </c>
      <c r="X9" s="16">
        <v>45.792029381386698</v>
      </c>
      <c r="Y9" s="16">
        <v>48.830866086790898</v>
      </c>
      <c r="Z9" s="16">
        <v>52.877866167524402</v>
      </c>
    </row>
    <row r="10" spans="1:30">
      <c r="C10" s="16">
        <v>-897.19626168223999</v>
      </c>
      <c r="D10" s="16">
        <v>-386.83788121990199</v>
      </c>
      <c r="E10" s="16">
        <v>-2419.4915254237098</v>
      </c>
      <c r="F10" s="16">
        <v>-19901.734104046001</v>
      </c>
      <c r="G10" s="16">
        <v>-63876.712328764203</v>
      </c>
      <c r="H10" s="16">
        <v>2558.5412667946198</v>
      </c>
      <c r="I10" s="16">
        <v>1276.48384673178</v>
      </c>
      <c r="J10" s="16">
        <v>-539.81008035061905</v>
      </c>
      <c r="K10" s="16">
        <v>-126.60458092121701</v>
      </c>
      <c r="L10" s="16">
        <v>3768.08905380334</v>
      </c>
      <c r="M10" s="16">
        <v>-2290.4884318765999</v>
      </c>
      <c r="N10" s="16">
        <v>3255.9165663858798</v>
      </c>
      <c r="O10" s="16">
        <v>-7969.6969696968699</v>
      </c>
      <c r="P10" s="16">
        <v>-8415.1857835217506</v>
      </c>
      <c r="Q10" s="16">
        <v>121.77564487102801</v>
      </c>
      <c r="R10" s="16">
        <v>1690.0198281559799</v>
      </c>
      <c r="S10" s="16">
        <v>-670.25216011285295</v>
      </c>
      <c r="T10" s="16">
        <v>-10899.497487437</v>
      </c>
      <c r="U10" s="16">
        <v>986.73666758773095</v>
      </c>
      <c r="V10" s="16">
        <v>-10802.955665024399</v>
      </c>
      <c r="W10" s="16">
        <v>-2785.86023702491</v>
      </c>
      <c r="X10" s="16">
        <v>-6839.3113342897695</v>
      </c>
      <c r="Y10" s="16">
        <v>-141.17454604940099</v>
      </c>
      <c r="Z10" s="16">
        <v>-7619.5286195285798</v>
      </c>
    </row>
    <row r="11" spans="1:30">
      <c r="C11" s="16">
        <v>-18223.880597015199</v>
      </c>
      <c r="D11" s="16">
        <v>156.33929558119999</v>
      </c>
      <c r="E11" s="16">
        <v>164.316748638566</v>
      </c>
      <c r="F11" s="16">
        <v>170.38043058878</v>
      </c>
      <c r="G11" s="16">
        <v>168.98771372812399</v>
      </c>
      <c r="H11" s="16">
        <v>200.31033804764499</v>
      </c>
      <c r="I11" s="16">
        <v>233.723823150773</v>
      </c>
      <c r="J11" s="16">
        <v>265.65515454000302</v>
      </c>
      <c r="K11" s="16">
        <v>301.98273107391498</v>
      </c>
      <c r="L11" s="16">
        <v>318.48675218497999</v>
      </c>
      <c r="M11" s="16">
        <v>313.196827105804</v>
      </c>
      <c r="N11" s="16">
        <v>309.16868038774498</v>
      </c>
      <c r="O11" s="16">
        <v>339.16037740463298</v>
      </c>
      <c r="P11" s="16">
        <v>105.95163414730099</v>
      </c>
      <c r="Q11" s="16">
        <v>119.523217954836</v>
      </c>
      <c r="R11" s="16">
        <v>113.80899097411501</v>
      </c>
      <c r="S11" s="16">
        <v>103.237839117956</v>
      </c>
      <c r="T11" s="16">
        <v>103.64498307052401</v>
      </c>
      <c r="U11" s="16">
        <v>99.9964653069881</v>
      </c>
      <c r="V11" s="16">
        <v>109.798333273206</v>
      </c>
      <c r="W11" s="16">
        <v>85.356282796075703</v>
      </c>
      <c r="X11" s="16">
        <v>208.76583507383501</v>
      </c>
      <c r="Y11" s="16">
        <v>312.08901852976101</v>
      </c>
      <c r="Z11" s="16">
        <v>326.35911790960802</v>
      </c>
    </row>
    <row r="12" spans="1:30">
      <c r="C12" s="16">
        <v>350.89209855565002</v>
      </c>
      <c r="D12" s="16">
        <v>168.97815331755399</v>
      </c>
      <c r="E12" s="16">
        <v>157.27998436403701</v>
      </c>
      <c r="F12" s="16">
        <v>160.14343314524501</v>
      </c>
      <c r="G12" s="16">
        <v>200.03087552388601</v>
      </c>
      <c r="H12" s="16">
        <v>216.10024365500701</v>
      </c>
      <c r="I12" s="16">
        <v>228.69208862397301</v>
      </c>
      <c r="J12" s="16">
        <v>282.29381531413401</v>
      </c>
      <c r="K12" s="16">
        <v>308.68550844688298</v>
      </c>
      <c r="L12" s="16">
        <v>314.04007692200901</v>
      </c>
      <c r="M12" s="16">
        <v>315.15477507325198</v>
      </c>
      <c r="N12" s="16">
        <v>329.188211023539</v>
      </c>
      <c r="O12" s="16">
        <v>339.282031229251</v>
      </c>
      <c r="P12" s="16">
        <v>114.86530894501701</v>
      </c>
      <c r="Q12" s="16">
        <v>116.86158614599999</v>
      </c>
      <c r="R12" s="16">
        <v>103.785628928335</v>
      </c>
      <c r="S12" s="16">
        <v>113.314755772014</v>
      </c>
      <c r="T12" s="16">
        <v>114.11471227081699</v>
      </c>
      <c r="U12" s="16">
        <v>98.679940306626307</v>
      </c>
      <c r="V12" s="16">
        <v>96.831630039757101</v>
      </c>
      <c r="W12" s="16">
        <v>127.029048287253</v>
      </c>
      <c r="X12" s="16">
        <v>185.87474535327399</v>
      </c>
      <c r="Y12" s="16">
        <v>320.85070766941601</v>
      </c>
      <c r="Z12" s="16">
        <v>303.75963297513698</v>
      </c>
    </row>
    <row r="13" spans="1:30">
      <c r="C13" s="16">
        <v>1512.56281407034</v>
      </c>
      <c r="D13" s="16">
        <v>185.396904535744</v>
      </c>
      <c r="E13" s="16">
        <v>163.12210601990401</v>
      </c>
      <c r="F13" s="16">
        <v>168.64334792099001</v>
      </c>
      <c r="G13" s="16">
        <v>189.02991724690801</v>
      </c>
      <c r="H13" s="16">
        <v>201.88878972713499</v>
      </c>
      <c r="I13" s="16">
        <v>237.35199315340199</v>
      </c>
      <c r="J13" s="16">
        <v>277.71568265784202</v>
      </c>
      <c r="K13" s="16">
        <v>291.91599884788201</v>
      </c>
      <c r="L13" s="16">
        <v>300.57594284330901</v>
      </c>
      <c r="M13" s="16">
        <v>305.10967385166799</v>
      </c>
      <c r="N13" s="16">
        <v>322.84763680862602</v>
      </c>
      <c r="O13" s="16">
        <v>340.11272517324801</v>
      </c>
      <c r="P13" s="16">
        <v>122.913768120125</v>
      </c>
      <c r="Q13" s="16">
        <v>102.324928417279</v>
      </c>
      <c r="R13" s="16">
        <v>107.65049900114499</v>
      </c>
      <c r="S13" s="16">
        <v>100.858937368342</v>
      </c>
      <c r="T13" s="16">
        <v>105.54816499232101</v>
      </c>
      <c r="U13" s="16">
        <v>100.075813711941</v>
      </c>
      <c r="V13" s="16">
        <v>102.653382115613</v>
      </c>
      <c r="W13" s="16">
        <v>110.70500139346299</v>
      </c>
      <c r="X13" s="16">
        <v>195.701846183284</v>
      </c>
      <c r="Y13" s="16">
        <v>292.58443052025399</v>
      </c>
      <c r="Z13" s="16">
        <v>325.839818851757</v>
      </c>
    </row>
    <row r="14" spans="1:30">
      <c r="C14" s="16">
        <v>-558.59969558599403</v>
      </c>
      <c r="D14" s="16">
        <v>115.833004379781</v>
      </c>
      <c r="E14" s="16">
        <v>96.699551781266095</v>
      </c>
      <c r="F14" s="16">
        <v>69.5881641895228</v>
      </c>
      <c r="G14" s="16">
        <v>93.301281127754606</v>
      </c>
      <c r="H14" s="16">
        <v>102.879760791058</v>
      </c>
      <c r="I14" s="16">
        <v>102.44801971062201</v>
      </c>
      <c r="J14" s="16">
        <v>137.18515590906401</v>
      </c>
      <c r="K14" s="16">
        <v>124.20878500185199</v>
      </c>
      <c r="L14" s="16">
        <v>167.97546070660599</v>
      </c>
      <c r="M14" s="16">
        <v>265.24830563107503</v>
      </c>
      <c r="N14" s="16">
        <v>302.83177915126601</v>
      </c>
      <c r="O14" s="16">
        <v>84.373571173563604</v>
      </c>
      <c r="P14" s="16">
        <v>95.9609532288503</v>
      </c>
      <c r="Q14" s="16">
        <v>92.401733022773101</v>
      </c>
      <c r="R14" s="16">
        <v>87.493500767265004</v>
      </c>
      <c r="S14" s="16">
        <v>89.7020374230394</v>
      </c>
      <c r="T14" s="16">
        <v>67.770483802812706</v>
      </c>
      <c r="U14" s="16">
        <v>87.4166414344689</v>
      </c>
      <c r="V14" s="16">
        <v>88.096954990911499</v>
      </c>
      <c r="W14" s="16">
        <v>79.234798662973105</v>
      </c>
      <c r="X14" s="16">
        <v>101.36912492796201</v>
      </c>
      <c r="Y14" s="16">
        <v>185.24864357687699</v>
      </c>
      <c r="Z14" s="16">
        <v>314.51452479193</v>
      </c>
    </row>
    <row r="15" spans="1:30">
      <c r="C15" s="16">
        <v>-576.78355501813201</v>
      </c>
      <c r="D15" s="16">
        <v>106.78790284334799</v>
      </c>
      <c r="E15" s="16">
        <v>88.4964025119273</v>
      </c>
      <c r="F15" s="16">
        <v>113.605498516098</v>
      </c>
      <c r="G15" s="16">
        <v>91.0053278884523</v>
      </c>
      <c r="H15" s="16">
        <v>122.439249917669</v>
      </c>
      <c r="I15" s="16">
        <v>104.927793397</v>
      </c>
      <c r="J15" s="16">
        <v>101.074658427259</v>
      </c>
      <c r="K15" s="16">
        <v>135.66405898219099</v>
      </c>
      <c r="L15" s="16">
        <v>210.27640759612399</v>
      </c>
      <c r="M15" s="16">
        <v>270.230921803115</v>
      </c>
      <c r="N15" s="16">
        <v>282.438181757758</v>
      </c>
      <c r="O15" s="16">
        <v>78.710880334746093</v>
      </c>
      <c r="P15" s="16">
        <v>73.022352489784893</v>
      </c>
      <c r="Q15" s="16">
        <v>81.023051848767395</v>
      </c>
      <c r="R15" s="16">
        <v>82.455385590766895</v>
      </c>
      <c r="S15" s="16">
        <v>78.530386484499104</v>
      </c>
      <c r="T15" s="16">
        <v>85.065320665083107</v>
      </c>
      <c r="U15" s="16">
        <v>62.093949614166803</v>
      </c>
      <c r="V15" s="16">
        <v>87.754372114257805</v>
      </c>
      <c r="W15" s="16">
        <v>92.336425421771693</v>
      </c>
      <c r="X15" s="16">
        <v>90.994599575132398</v>
      </c>
      <c r="Y15" s="16">
        <v>158.61203444460901</v>
      </c>
      <c r="Z15" s="16">
        <v>96.863018998758804</v>
      </c>
    </row>
    <row r="16" spans="1:30">
      <c r="C16" s="16">
        <v>-493.19213313161998</v>
      </c>
      <c r="D16" s="16">
        <v>108.98975973918</v>
      </c>
      <c r="E16" s="16">
        <v>100.997469744103</v>
      </c>
      <c r="F16" s="16">
        <v>104.51421480441699</v>
      </c>
      <c r="G16" s="16">
        <v>128.70327937750901</v>
      </c>
      <c r="H16" s="16">
        <v>111.368104544928</v>
      </c>
      <c r="I16" s="16">
        <v>119.58118669528</v>
      </c>
      <c r="J16" s="16">
        <v>139.49199518015101</v>
      </c>
      <c r="K16" s="16">
        <v>136.884166087442</v>
      </c>
      <c r="L16" s="16">
        <v>197.63793041733601</v>
      </c>
      <c r="M16" s="16">
        <v>281.79464556906998</v>
      </c>
      <c r="N16" s="16">
        <v>289.03389231772201</v>
      </c>
      <c r="O16" s="16">
        <v>341.71817748015502</v>
      </c>
      <c r="P16" s="16">
        <v>88.384211592251305</v>
      </c>
      <c r="Q16" s="16">
        <v>87.452170383967697</v>
      </c>
      <c r="R16" s="16">
        <v>95.315301288148206</v>
      </c>
      <c r="S16" s="16">
        <v>85.982830949713502</v>
      </c>
      <c r="T16" s="16">
        <v>87.374867049000201</v>
      </c>
      <c r="U16" s="16">
        <v>90.467918493396198</v>
      </c>
      <c r="V16" s="16">
        <v>96.094695318842</v>
      </c>
      <c r="W16" s="16">
        <v>88.735454897316302</v>
      </c>
      <c r="X16" s="16">
        <v>65.009128053551294</v>
      </c>
      <c r="Y16" s="16">
        <v>179.30556117350699</v>
      </c>
      <c r="Z16" s="16">
        <v>275.93449727705502</v>
      </c>
    </row>
    <row r="17" spans="1:30">
      <c r="C17" s="16" t="s">
        <v>64</v>
      </c>
      <c r="D17" s="16" t="s">
        <v>64</v>
      </c>
      <c r="E17" s="16" t="s">
        <v>64</v>
      </c>
      <c r="F17" s="16" t="s">
        <v>64</v>
      </c>
      <c r="G17" s="16" t="s">
        <v>64</v>
      </c>
      <c r="H17" s="16" t="s">
        <v>64</v>
      </c>
      <c r="I17" s="16" t="s">
        <v>64</v>
      </c>
      <c r="J17" s="16" t="s">
        <v>64</v>
      </c>
      <c r="K17" s="16" t="s">
        <v>64</v>
      </c>
      <c r="L17" s="16" t="s">
        <v>64</v>
      </c>
      <c r="M17" s="16" t="s">
        <v>64</v>
      </c>
      <c r="N17" s="16" t="s">
        <v>64</v>
      </c>
      <c r="O17" s="16" t="s">
        <v>64</v>
      </c>
      <c r="P17" s="16" t="s">
        <v>64</v>
      </c>
      <c r="Q17" s="16" t="s">
        <v>64</v>
      </c>
      <c r="R17" s="16" t="s">
        <v>64</v>
      </c>
      <c r="S17" s="16" t="s">
        <v>64</v>
      </c>
      <c r="T17" s="16" t="s">
        <v>64</v>
      </c>
      <c r="U17" s="16" t="s">
        <v>64</v>
      </c>
      <c r="V17" s="16" t="s">
        <v>64</v>
      </c>
      <c r="W17" s="16" t="s">
        <v>64</v>
      </c>
      <c r="X17" s="16" t="s">
        <v>64</v>
      </c>
      <c r="Y17" s="16" t="s">
        <v>64</v>
      </c>
      <c r="Z17" s="16" t="s">
        <v>64</v>
      </c>
    </row>
    <row r="18" spans="1:30">
      <c r="C18" s="16" t="s">
        <v>64</v>
      </c>
      <c r="D18" s="16" t="s">
        <v>64</v>
      </c>
      <c r="E18" s="16" t="s">
        <v>64</v>
      </c>
      <c r="F18" s="16" t="s">
        <v>64</v>
      </c>
      <c r="G18" s="16" t="s">
        <v>64</v>
      </c>
      <c r="H18" s="16" t="s">
        <v>64</v>
      </c>
      <c r="I18" s="16" t="s">
        <v>64</v>
      </c>
      <c r="J18" s="16" t="s">
        <v>64</v>
      </c>
      <c r="K18" s="16" t="s">
        <v>64</v>
      </c>
      <c r="L18" s="16" t="s">
        <v>64</v>
      </c>
      <c r="M18" s="16" t="s">
        <v>64</v>
      </c>
      <c r="N18" s="16" t="s">
        <v>64</v>
      </c>
      <c r="O18" s="16" t="s">
        <v>64</v>
      </c>
      <c r="P18" s="16" t="s">
        <v>64</v>
      </c>
      <c r="Q18" s="16" t="s">
        <v>64</v>
      </c>
      <c r="R18" s="16" t="s">
        <v>64</v>
      </c>
      <c r="S18" s="16" t="s">
        <v>64</v>
      </c>
      <c r="T18" s="16" t="s">
        <v>64</v>
      </c>
      <c r="U18" s="16" t="s">
        <v>64</v>
      </c>
      <c r="V18" s="16" t="s">
        <v>64</v>
      </c>
      <c r="W18" s="16" t="s">
        <v>64</v>
      </c>
      <c r="X18" s="16" t="s">
        <v>64</v>
      </c>
      <c r="Y18" s="16" t="s">
        <v>64</v>
      </c>
      <c r="Z18" s="16" t="s">
        <v>64</v>
      </c>
    </row>
    <row r="19" spans="1:30">
      <c r="C19" s="16" t="s">
        <v>64</v>
      </c>
      <c r="D19" s="16" t="s">
        <v>64</v>
      </c>
      <c r="E19" s="16" t="s">
        <v>64</v>
      </c>
      <c r="F19" s="16" t="s">
        <v>64</v>
      </c>
      <c r="G19" s="16" t="s">
        <v>64</v>
      </c>
      <c r="H19" s="16" t="s">
        <v>64</v>
      </c>
      <c r="I19" s="16" t="s">
        <v>64</v>
      </c>
      <c r="J19" s="16" t="s">
        <v>64</v>
      </c>
      <c r="K19" s="16" t="s">
        <v>64</v>
      </c>
      <c r="L19" s="16" t="s">
        <v>64</v>
      </c>
      <c r="M19" s="16" t="s">
        <v>64</v>
      </c>
      <c r="N19" s="16" t="s">
        <v>64</v>
      </c>
      <c r="O19" s="16" t="s">
        <v>64</v>
      </c>
      <c r="P19" s="16" t="s">
        <v>64</v>
      </c>
      <c r="Q19" s="16" t="s">
        <v>64</v>
      </c>
      <c r="R19" s="16" t="s">
        <v>64</v>
      </c>
      <c r="S19" s="16" t="s">
        <v>64</v>
      </c>
      <c r="T19" s="16" t="s">
        <v>64</v>
      </c>
      <c r="U19" s="16" t="s">
        <v>64</v>
      </c>
      <c r="V19" s="16" t="s">
        <v>64</v>
      </c>
      <c r="W19" s="16" t="s">
        <v>64</v>
      </c>
      <c r="X19" s="16" t="s">
        <v>64</v>
      </c>
      <c r="Y19" s="16" t="s">
        <v>64</v>
      </c>
      <c r="Z19" s="16" t="s">
        <v>64</v>
      </c>
    </row>
    <row r="20" spans="1:30">
      <c r="A20" s="16" t="s">
        <v>63</v>
      </c>
    </row>
    <row r="21" spans="1:30">
      <c r="A21" s="16" t="s">
        <v>71</v>
      </c>
      <c r="B21" s="16" t="s">
        <v>70</v>
      </c>
      <c r="C21" s="16">
        <v>1.3</v>
      </c>
      <c r="D21" s="16" t="s">
        <v>69</v>
      </c>
      <c r="E21" s="16" t="s">
        <v>68</v>
      </c>
      <c r="F21" s="16" t="s">
        <v>67</v>
      </c>
      <c r="G21" s="16" t="s">
        <v>66</v>
      </c>
      <c r="H21" s="16" t="b">
        <v>0</v>
      </c>
      <c r="I21" s="16">
        <v>1</v>
      </c>
      <c r="O21" s="16">
        <v>1</v>
      </c>
      <c r="Q21" s="16">
        <v>1</v>
      </c>
      <c r="R21" s="16">
        <v>24</v>
      </c>
      <c r="S21" s="16">
        <v>384</v>
      </c>
      <c r="T21" s="16">
        <v>485</v>
      </c>
      <c r="U21" s="16" t="s">
        <v>65</v>
      </c>
      <c r="Y21" s="16">
        <v>0</v>
      </c>
      <c r="AC21" s="16">
        <v>1</v>
      </c>
      <c r="AD21" s="16">
        <v>13</v>
      </c>
    </row>
    <row r="22" spans="1:30">
      <c r="C22" s="16">
        <v>1</v>
      </c>
      <c r="D22" s="16">
        <v>2</v>
      </c>
      <c r="E22" s="16">
        <v>3</v>
      </c>
      <c r="F22" s="16">
        <v>4</v>
      </c>
      <c r="G22" s="16">
        <v>5</v>
      </c>
      <c r="H22" s="16">
        <v>6</v>
      </c>
      <c r="I22" s="16">
        <v>7</v>
      </c>
      <c r="J22" s="16">
        <v>8</v>
      </c>
      <c r="K22" s="16">
        <v>9</v>
      </c>
      <c r="L22" s="16">
        <v>10</v>
      </c>
      <c r="M22" s="16">
        <v>11</v>
      </c>
      <c r="N22" s="16">
        <v>12</v>
      </c>
      <c r="O22" s="16">
        <v>13</v>
      </c>
      <c r="P22" s="16">
        <v>14</v>
      </c>
      <c r="Q22" s="16">
        <v>15</v>
      </c>
      <c r="R22" s="16">
        <v>16</v>
      </c>
      <c r="S22" s="16">
        <v>17</v>
      </c>
      <c r="T22" s="16">
        <v>18</v>
      </c>
      <c r="U22" s="16">
        <v>19</v>
      </c>
      <c r="V22" s="16">
        <v>20</v>
      </c>
      <c r="W22" s="16">
        <v>21</v>
      </c>
      <c r="X22" s="16">
        <v>22</v>
      </c>
      <c r="Y22" s="16">
        <v>23</v>
      </c>
      <c r="Z22" s="16">
        <v>24</v>
      </c>
    </row>
    <row r="23" spans="1:30">
      <c r="C23" s="16">
        <v>393.33621808740799</v>
      </c>
      <c r="D23" s="16">
        <v>140.380817027657</v>
      </c>
      <c r="E23" s="16">
        <v>122.855712206435</v>
      </c>
      <c r="F23" s="16">
        <v>140.19407097638501</v>
      </c>
      <c r="G23" s="16">
        <v>176.526194392452</v>
      </c>
      <c r="H23" s="16">
        <v>201.75370499754101</v>
      </c>
      <c r="I23" s="16">
        <v>195.57333222804701</v>
      </c>
      <c r="J23" s="16">
        <v>230.47096816432099</v>
      </c>
      <c r="K23" s="16">
        <v>249.94289629968</v>
      </c>
      <c r="L23" s="16">
        <v>267.90749026179799</v>
      </c>
      <c r="M23" s="16">
        <v>246.06252203281801</v>
      </c>
      <c r="N23" s="16">
        <v>237.06718522862701</v>
      </c>
      <c r="O23" s="16">
        <v>275.16287034872403</v>
      </c>
      <c r="P23" s="16">
        <v>65.504313886606298</v>
      </c>
      <c r="Q23" s="16">
        <v>55.417795279860798</v>
      </c>
      <c r="R23" s="16">
        <v>83.959289865855695</v>
      </c>
      <c r="S23" s="16">
        <v>73.909550183561706</v>
      </c>
      <c r="T23" s="16">
        <v>93.165325714012397</v>
      </c>
      <c r="U23" s="16">
        <v>149.833218352382</v>
      </c>
      <c r="V23" s="16">
        <v>139.68491720924899</v>
      </c>
      <c r="W23" s="16">
        <v>175.173952681446</v>
      </c>
      <c r="X23" s="16">
        <v>181.15099655336101</v>
      </c>
      <c r="Y23" s="16">
        <v>202.21956992983999</v>
      </c>
      <c r="Z23" s="16">
        <v>231.69016635352901</v>
      </c>
    </row>
    <row r="24" spans="1:30">
      <c r="C24" s="16">
        <v>1328.8996372430399</v>
      </c>
      <c r="D24" s="16">
        <v>80.214869317925306</v>
      </c>
      <c r="E24" s="16">
        <v>149.278294321743</v>
      </c>
      <c r="F24" s="16">
        <v>143.99416441589199</v>
      </c>
      <c r="G24" s="16">
        <v>156.63419678535399</v>
      </c>
      <c r="H24" s="16">
        <v>172.37495888104701</v>
      </c>
      <c r="I24" s="16">
        <v>220.59307587528301</v>
      </c>
      <c r="J24" s="16">
        <v>213.611111989401</v>
      </c>
      <c r="K24" s="16">
        <v>217.69603440171599</v>
      </c>
      <c r="L24" s="16">
        <v>277.166003020733</v>
      </c>
      <c r="M24" s="16">
        <v>248.22212209766201</v>
      </c>
      <c r="N24" s="16">
        <v>281.64057492352998</v>
      </c>
      <c r="O24" s="16">
        <v>268.55060565070897</v>
      </c>
      <c r="P24" s="16">
        <v>90.213643949435607</v>
      </c>
      <c r="Q24" s="16">
        <v>94.294067036941897</v>
      </c>
      <c r="R24" s="16">
        <v>122.157364931931</v>
      </c>
      <c r="S24" s="16">
        <v>82.950193810424807</v>
      </c>
      <c r="T24" s="16">
        <v>74.639934441687799</v>
      </c>
      <c r="U24" s="16">
        <v>119.941137633086</v>
      </c>
      <c r="V24" s="16">
        <v>144.99228598250599</v>
      </c>
      <c r="W24" s="16">
        <v>149.233535376003</v>
      </c>
      <c r="X24" s="16">
        <v>183.25192823194601</v>
      </c>
      <c r="Y24" s="16">
        <v>227.566937767128</v>
      </c>
      <c r="Z24" s="16">
        <v>244.349426507765</v>
      </c>
    </row>
    <row r="25" spans="1:30">
      <c r="C25" s="16">
        <v>-409.39934656948901</v>
      </c>
      <c r="D25" s="16">
        <v>151.56087311632101</v>
      </c>
      <c r="E25" s="16">
        <v>108.829315776287</v>
      </c>
      <c r="F25" s="16">
        <v>141.737237899566</v>
      </c>
      <c r="G25" s="16">
        <v>172.633875854927</v>
      </c>
      <c r="H25" s="16">
        <v>178.48738779986499</v>
      </c>
      <c r="I25" s="16">
        <v>189.649665412263</v>
      </c>
      <c r="J25" s="16">
        <v>257.87294276117302</v>
      </c>
      <c r="K25" s="16">
        <v>221.59791532338301</v>
      </c>
      <c r="L25" s="16">
        <v>248.39246795088701</v>
      </c>
      <c r="M25" s="16">
        <v>279.28480605197001</v>
      </c>
      <c r="N25" s="16">
        <v>234.84441082554699</v>
      </c>
      <c r="O25" s="16">
        <v>250.92979620977201</v>
      </c>
      <c r="P25" s="16">
        <v>99.263753745976402</v>
      </c>
      <c r="Q25" s="16">
        <v>82.422320403707303</v>
      </c>
      <c r="R25" s="16">
        <v>103.419571074941</v>
      </c>
      <c r="S25" s="16">
        <v>103.12318112915401</v>
      </c>
      <c r="T25" s="16">
        <v>109.13845174113899</v>
      </c>
      <c r="U25" s="16">
        <v>103.095521455962</v>
      </c>
      <c r="V25" s="16">
        <v>129.300450690031</v>
      </c>
      <c r="W25" s="16">
        <v>149.363449050252</v>
      </c>
      <c r="X25" s="16">
        <v>180.20974508901901</v>
      </c>
      <c r="Y25" s="16">
        <v>222.324483723664</v>
      </c>
      <c r="Z25" s="16">
        <v>245.44797952903099</v>
      </c>
    </row>
    <row r="26" spans="1:30">
      <c r="C26" s="16">
        <v>4377.7777777777701</v>
      </c>
      <c r="D26" s="16">
        <v>50.804825413476699</v>
      </c>
      <c r="E26" s="16">
        <v>52.8226021783682</v>
      </c>
      <c r="F26" s="16">
        <v>45.602123621207902</v>
      </c>
      <c r="G26" s="16">
        <v>40.620738351506098</v>
      </c>
      <c r="H26" s="16">
        <v>56.675520603006497</v>
      </c>
      <c r="I26" s="16">
        <v>49.100700685836102</v>
      </c>
      <c r="J26" s="16">
        <v>40.049603850093099</v>
      </c>
      <c r="K26" s="16">
        <v>71.768678902533097</v>
      </c>
      <c r="L26" s="16">
        <v>88.964670348322898</v>
      </c>
      <c r="M26" s="16">
        <v>140.29495131140399</v>
      </c>
      <c r="N26" s="16">
        <v>163.52298098390901</v>
      </c>
      <c r="O26" s="16">
        <v>201.65500270779901</v>
      </c>
      <c r="P26" s="16">
        <v>37.860148085358396</v>
      </c>
      <c r="Q26" s="16">
        <v>48.950525038496501</v>
      </c>
      <c r="R26" s="16">
        <v>34.674571214473701</v>
      </c>
      <c r="S26" s="16">
        <v>56.719745270219697</v>
      </c>
      <c r="T26" s="16">
        <v>38.806865707819902</v>
      </c>
      <c r="U26" s="16">
        <v>57.391336089285502</v>
      </c>
      <c r="V26" s="16">
        <v>63.750783250431198</v>
      </c>
      <c r="W26" s="16">
        <v>54.815192813320401</v>
      </c>
      <c r="X26" s="16">
        <v>53.457198998058303</v>
      </c>
      <c r="Y26" s="16">
        <v>43.973120285248697</v>
      </c>
      <c r="Z26" s="16">
        <v>42.118126961887597</v>
      </c>
    </row>
    <row r="27" spans="1:30">
      <c r="C27" s="16">
        <v>2702.42214532871</v>
      </c>
      <c r="D27" s="16">
        <v>69.971448891638403</v>
      </c>
      <c r="E27" s="16">
        <v>52.862316610510099</v>
      </c>
      <c r="F27" s="16">
        <v>48.253180184942202</v>
      </c>
      <c r="G27" s="16">
        <v>56.0305801448024</v>
      </c>
      <c r="H27" s="16">
        <v>51.521600644273001</v>
      </c>
      <c r="I27" s="16">
        <v>47.833496032299301</v>
      </c>
      <c r="J27" s="16">
        <v>69.059416874319496</v>
      </c>
      <c r="K27" s="16">
        <v>85.753661457313399</v>
      </c>
      <c r="L27" s="16">
        <v>104.013745027307</v>
      </c>
      <c r="M27" s="16">
        <v>142.28428747578801</v>
      </c>
      <c r="N27" s="16">
        <v>161.63842746478099</v>
      </c>
      <c r="O27" s="16">
        <v>211.592254194421</v>
      </c>
      <c r="P27" s="16">
        <v>53.1730579834623</v>
      </c>
      <c r="Q27" s="16">
        <v>34.643653589855099</v>
      </c>
      <c r="R27" s="16">
        <v>50.178804641399097</v>
      </c>
      <c r="S27" s="16">
        <v>62.963819497033001</v>
      </c>
      <c r="T27" s="16">
        <v>56.474120499098198</v>
      </c>
      <c r="U27" s="16">
        <v>50.154535457886702</v>
      </c>
      <c r="V27" s="16">
        <v>53.599139167460599</v>
      </c>
      <c r="W27" s="16">
        <v>44.697266621208698</v>
      </c>
      <c r="X27" s="16">
        <v>57.896756589703102</v>
      </c>
      <c r="Y27" s="16">
        <v>41.741923127918703</v>
      </c>
      <c r="Z27" s="16">
        <v>53.8144302682621</v>
      </c>
    </row>
    <row r="28" spans="1:30">
      <c r="C28" s="16">
        <v>225666.66666667099</v>
      </c>
      <c r="D28" s="16">
        <v>56.603013107853997</v>
      </c>
      <c r="E28" s="16">
        <v>56.433375638706202</v>
      </c>
      <c r="F28" s="16">
        <v>45.8693971159936</v>
      </c>
      <c r="G28" s="16">
        <v>55.125922148821402</v>
      </c>
      <c r="H28" s="16">
        <v>53.4295662867777</v>
      </c>
      <c r="I28" s="16">
        <v>43.1216688483875</v>
      </c>
      <c r="J28" s="16">
        <v>58.372694055788102</v>
      </c>
      <c r="K28" s="16">
        <v>71.935959521003596</v>
      </c>
      <c r="L28" s="16">
        <v>96.639938324371798</v>
      </c>
      <c r="M28" s="16">
        <v>105.17912962074701</v>
      </c>
      <c r="N28" s="16">
        <v>141.969604563627</v>
      </c>
      <c r="O28" s="16">
        <v>193.161246436189</v>
      </c>
      <c r="P28" s="16">
        <v>40.335160604719199</v>
      </c>
      <c r="Q28" s="16">
        <v>45.199916807877202</v>
      </c>
      <c r="R28" s="16">
        <v>39.856634484454602</v>
      </c>
      <c r="S28" s="16">
        <v>49.387540934880199</v>
      </c>
      <c r="T28" s="16">
        <v>49.288063437583702</v>
      </c>
      <c r="U28" s="16">
        <v>55.490546989720897</v>
      </c>
      <c r="V28" s="16">
        <v>43.814662967707903</v>
      </c>
      <c r="W28" s="16">
        <v>58.283129246133697</v>
      </c>
      <c r="X28" s="16">
        <v>54.781112508733599</v>
      </c>
      <c r="Y28" s="16">
        <v>39.017534382606499</v>
      </c>
      <c r="Z28" s="16">
        <v>50.216644810845999</v>
      </c>
    </row>
    <row r="29" spans="1:30">
      <c r="C29" s="16">
        <v>-2344.3396226415098</v>
      </c>
      <c r="D29" s="16">
        <v>467.23494938731898</v>
      </c>
      <c r="E29" s="16">
        <v>14319.6930946291</v>
      </c>
      <c r="F29" s="16">
        <v>50.8200040494023</v>
      </c>
      <c r="G29" s="16">
        <v>681.16755543081695</v>
      </c>
      <c r="H29" s="16">
        <v>3226.6462480857499</v>
      </c>
      <c r="I29" s="16">
        <v>161.88353301755399</v>
      </c>
      <c r="J29" s="16">
        <v>-191.33893062306501</v>
      </c>
      <c r="K29" s="16">
        <v>479.458560911897</v>
      </c>
      <c r="L29" s="16">
        <v>-5756.7567567567503</v>
      </c>
      <c r="M29" s="16">
        <v>1682.35041357825</v>
      </c>
      <c r="N29" s="16">
        <v>-895.20132377275297</v>
      </c>
      <c r="O29" s="16">
        <v>-4657.5875486381201</v>
      </c>
      <c r="P29" s="16">
        <v>-30.812324929972402</v>
      </c>
      <c r="Q29" s="16">
        <v>-100473.684210526</v>
      </c>
      <c r="R29" s="16">
        <v>-2729.3233082706702</v>
      </c>
      <c r="S29" s="16">
        <v>-34.749034749034898</v>
      </c>
      <c r="T29" s="16">
        <v>-1355.22066738428</v>
      </c>
      <c r="U29" s="16">
        <v>-348.58743871118401</v>
      </c>
      <c r="V29" s="16">
        <v>373.96321673277998</v>
      </c>
      <c r="W29" s="16">
        <v>-89.900110987791507</v>
      </c>
      <c r="X29" s="16">
        <v>332.222079753814</v>
      </c>
      <c r="Y29" s="16">
        <v>-311.69557918298801</v>
      </c>
      <c r="Z29" s="16">
        <v>409.01581307528801</v>
      </c>
    </row>
    <row r="30" spans="1:30">
      <c r="C30" s="16">
        <v>2148.40499306518</v>
      </c>
      <c r="D30" s="16">
        <v>147.80206040764699</v>
      </c>
      <c r="E30" s="16">
        <v>158.30929839985399</v>
      </c>
      <c r="F30" s="16">
        <v>136.62646189267599</v>
      </c>
      <c r="G30" s="16">
        <v>189.222973101984</v>
      </c>
      <c r="H30" s="16">
        <v>213.82913651050001</v>
      </c>
      <c r="I30" s="16">
        <v>227.89311026839999</v>
      </c>
      <c r="J30" s="16">
        <v>268.26105506451802</v>
      </c>
      <c r="K30" s="16">
        <v>276.189987514324</v>
      </c>
      <c r="L30" s="16">
        <v>307.57655310671498</v>
      </c>
      <c r="M30" s="16">
        <v>316.04609154015498</v>
      </c>
      <c r="N30" s="16">
        <v>327.96863223388101</v>
      </c>
      <c r="O30" s="16">
        <v>329.24990130998401</v>
      </c>
      <c r="P30" s="16">
        <v>125.824919981359</v>
      </c>
      <c r="Q30" s="16">
        <v>100.06246962390399</v>
      </c>
      <c r="R30" s="16">
        <v>99.3005742183081</v>
      </c>
      <c r="S30" s="16">
        <v>105.969451879647</v>
      </c>
      <c r="T30" s="16">
        <v>96.853894083805997</v>
      </c>
      <c r="U30" s="16">
        <v>88.871664342864904</v>
      </c>
      <c r="V30" s="16">
        <v>108.571415324681</v>
      </c>
      <c r="W30" s="16">
        <v>133.05941384808199</v>
      </c>
      <c r="X30" s="16">
        <v>207.24841724070299</v>
      </c>
      <c r="Y30" s="16">
        <v>306.43850701906302</v>
      </c>
      <c r="Z30" s="16">
        <v>302.91646163062001</v>
      </c>
    </row>
    <row r="31" spans="1:30">
      <c r="C31" s="16">
        <v>122.866073575378</v>
      </c>
      <c r="D31" s="16">
        <v>167.59135852214601</v>
      </c>
      <c r="E31" s="16">
        <v>170.586792401406</v>
      </c>
      <c r="F31" s="16">
        <v>181.772316069135</v>
      </c>
      <c r="G31" s="16">
        <v>169.90431384713401</v>
      </c>
      <c r="H31" s="16">
        <v>195.908169111744</v>
      </c>
      <c r="I31" s="16">
        <v>247.27182239055699</v>
      </c>
      <c r="J31" s="16">
        <v>297.45922715911701</v>
      </c>
      <c r="K31" s="16">
        <v>292.719625104231</v>
      </c>
      <c r="L31" s="16">
        <v>323.30914396745902</v>
      </c>
      <c r="M31" s="16">
        <v>318.29903404284698</v>
      </c>
      <c r="N31" s="16">
        <v>328.71480593303102</v>
      </c>
      <c r="O31" s="16">
        <v>333.05959542302497</v>
      </c>
      <c r="P31" s="16">
        <v>117.207096460964</v>
      </c>
      <c r="Q31" s="16">
        <v>113.973068397858</v>
      </c>
      <c r="R31" s="16">
        <v>107.874806147306</v>
      </c>
      <c r="S31" s="16">
        <v>104.358132736484</v>
      </c>
      <c r="T31" s="16">
        <v>113.920544335578</v>
      </c>
      <c r="U31" s="16">
        <v>110.804013156076</v>
      </c>
      <c r="V31" s="16">
        <v>90.955060891582804</v>
      </c>
      <c r="W31" s="16">
        <v>126.71230994435901</v>
      </c>
      <c r="X31" s="16">
        <v>221.56956872257899</v>
      </c>
      <c r="Y31" s="16">
        <v>304.43291496852299</v>
      </c>
      <c r="Z31" s="16">
        <v>325.83300642927901</v>
      </c>
    </row>
    <row r="32" spans="1:30">
      <c r="C32" s="16">
        <v>171.96056955092999</v>
      </c>
      <c r="D32" s="16">
        <v>174.058802455555</v>
      </c>
      <c r="E32" s="16">
        <v>188.98062007337799</v>
      </c>
      <c r="F32" s="16">
        <v>163.615723002696</v>
      </c>
      <c r="G32" s="16">
        <v>175.13859189295999</v>
      </c>
      <c r="H32" s="16">
        <v>202.42790411457</v>
      </c>
      <c r="I32" s="16">
        <v>239.44895879987499</v>
      </c>
      <c r="J32" s="16">
        <v>274.07861614035397</v>
      </c>
      <c r="K32" s="16">
        <v>294.26939775531901</v>
      </c>
      <c r="L32" s="16">
        <v>313.21127346768799</v>
      </c>
      <c r="M32" s="16">
        <v>305.10492780926899</v>
      </c>
      <c r="N32" s="16">
        <v>308.83165734235098</v>
      </c>
      <c r="O32" s="16">
        <v>326.60812742495398</v>
      </c>
      <c r="P32" s="16">
        <v>112.482558311096</v>
      </c>
      <c r="Q32" s="16">
        <v>120.641121669187</v>
      </c>
      <c r="R32" s="16">
        <v>96.639776669335106</v>
      </c>
      <c r="S32" s="16">
        <v>89.093222353231795</v>
      </c>
      <c r="T32" s="16">
        <v>107.082588714758</v>
      </c>
      <c r="U32" s="16">
        <v>108.547741319038</v>
      </c>
      <c r="V32" s="16">
        <v>87.434925389302904</v>
      </c>
      <c r="W32" s="16">
        <v>118.572248089843</v>
      </c>
      <c r="X32" s="16">
        <v>222.45547325754799</v>
      </c>
      <c r="Y32" s="16">
        <v>293.36744179597503</v>
      </c>
      <c r="Z32" s="16">
        <v>300.16634127004698</v>
      </c>
    </row>
    <row r="33" spans="1:26">
      <c r="C33" s="16">
        <v>-3046.3320463320501</v>
      </c>
      <c r="D33" s="16">
        <v>104.252672217906</v>
      </c>
      <c r="E33" s="16">
        <v>98.477857642172197</v>
      </c>
      <c r="F33" s="16">
        <v>116.119346467516</v>
      </c>
      <c r="G33" s="16">
        <v>94.524952398326207</v>
      </c>
      <c r="H33" s="16">
        <v>88.623452147760602</v>
      </c>
      <c r="I33" s="16">
        <v>103.842366253032</v>
      </c>
      <c r="J33" s="16">
        <v>105.563076490418</v>
      </c>
      <c r="K33" s="16">
        <v>120.508225459126</v>
      </c>
      <c r="L33" s="16">
        <v>177.68921265973</v>
      </c>
      <c r="M33" s="16">
        <v>238.09098570639199</v>
      </c>
      <c r="N33" s="16">
        <v>288.09508835922202</v>
      </c>
      <c r="O33" s="16">
        <v>74.555842460512494</v>
      </c>
      <c r="P33" s="16">
        <v>60.591789742423401</v>
      </c>
      <c r="Q33" s="16">
        <v>79.441010316656801</v>
      </c>
      <c r="R33" s="16">
        <v>64.713076611979801</v>
      </c>
      <c r="S33" s="16">
        <v>68.486092713125601</v>
      </c>
      <c r="T33" s="16">
        <v>95.662941373594705</v>
      </c>
      <c r="U33" s="16">
        <v>77.116667734120995</v>
      </c>
      <c r="V33" s="16">
        <v>82.416555797928496</v>
      </c>
      <c r="W33" s="16">
        <v>93.516239563727595</v>
      </c>
      <c r="X33" s="16">
        <v>101.04994296061101</v>
      </c>
      <c r="Y33" s="16">
        <v>199.81187106635701</v>
      </c>
      <c r="Z33" s="16">
        <v>297.603200346981</v>
      </c>
    </row>
    <row r="34" spans="1:26">
      <c r="C34" s="16">
        <v>4446.5849387040198</v>
      </c>
      <c r="D34" s="16">
        <v>98.457659526983406</v>
      </c>
      <c r="E34" s="16">
        <v>113.444312035292</v>
      </c>
      <c r="F34" s="16">
        <v>116.744821699833</v>
      </c>
      <c r="G34" s="16">
        <v>105.364219126515</v>
      </c>
      <c r="H34" s="16">
        <v>101.543766556048</v>
      </c>
      <c r="I34" s="16">
        <v>110.564450422818</v>
      </c>
      <c r="J34" s="16">
        <v>128.73315523532301</v>
      </c>
      <c r="K34" s="16">
        <v>109.737534730116</v>
      </c>
      <c r="L34" s="16">
        <v>215.35722828192101</v>
      </c>
      <c r="M34" s="16">
        <v>251.80163656477299</v>
      </c>
      <c r="N34" s="16">
        <v>317.30511216885799</v>
      </c>
      <c r="O34" s="16">
        <v>58.663031825425101</v>
      </c>
      <c r="P34" s="16">
        <v>52.868270043712101</v>
      </c>
      <c r="Q34" s="16">
        <v>98.636161636573107</v>
      </c>
      <c r="R34" s="16">
        <v>69.840233473375804</v>
      </c>
      <c r="S34" s="16">
        <v>87.706584666350693</v>
      </c>
      <c r="T34" s="16">
        <v>103.397170745336</v>
      </c>
      <c r="U34" s="16">
        <v>94.051361489513596</v>
      </c>
      <c r="V34" s="16">
        <v>95.403276148674394</v>
      </c>
      <c r="W34" s="16">
        <v>73.067224832577395</v>
      </c>
      <c r="X34" s="16">
        <v>100.606641360444</v>
      </c>
      <c r="Y34" s="16">
        <v>179.87654409292799</v>
      </c>
      <c r="Z34" s="16">
        <v>57.109191113979101</v>
      </c>
    </row>
    <row r="35" spans="1:26">
      <c r="C35" s="16">
        <v>333.33333333333201</v>
      </c>
      <c r="D35" s="16">
        <v>110.956597561525</v>
      </c>
      <c r="E35" s="16">
        <v>98.273364033185402</v>
      </c>
      <c r="F35" s="16">
        <v>116.159471107467</v>
      </c>
      <c r="G35" s="16">
        <v>88.788969323215795</v>
      </c>
      <c r="H35" s="16">
        <v>119.64243677019201</v>
      </c>
      <c r="I35" s="16">
        <v>101.299310160069</v>
      </c>
      <c r="J35" s="16">
        <v>126.921942325628</v>
      </c>
      <c r="K35" s="16">
        <v>122.30059370627799</v>
      </c>
      <c r="L35" s="16">
        <v>182.71318356095099</v>
      </c>
      <c r="M35" s="16">
        <v>260.873863690799</v>
      </c>
      <c r="N35" s="16">
        <v>312.27823586313502</v>
      </c>
      <c r="O35" s="16">
        <v>348.56443766931</v>
      </c>
      <c r="P35" s="16">
        <v>68.799445141032507</v>
      </c>
      <c r="Q35" s="16">
        <v>73.413052599024596</v>
      </c>
      <c r="R35" s="16">
        <v>84.183047472592094</v>
      </c>
      <c r="S35" s="16">
        <v>73.029051235570293</v>
      </c>
      <c r="T35" s="16">
        <v>107.220689180025</v>
      </c>
      <c r="U35" s="16">
        <v>90.923696363869496</v>
      </c>
      <c r="V35" s="16">
        <v>80.534713138408804</v>
      </c>
      <c r="W35" s="16">
        <v>75.859293434199103</v>
      </c>
      <c r="X35" s="16">
        <v>72.095694194638895</v>
      </c>
      <c r="Y35" s="16">
        <v>184.28998355174201</v>
      </c>
      <c r="Z35" s="16">
        <v>277.520058057862</v>
      </c>
    </row>
    <row r="36" spans="1:26">
      <c r="C36" s="16" t="s">
        <v>64</v>
      </c>
      <c r="D36" s="16" t="s">
        <v>64</v>
      </c>
      <c r="E36" s="16" t="s">
        <v>64</v>
      </c>
      <c r="F36" s="16" t="s">
        <v>64</v>
      </c>
      <c r="G36" s="16" t="s">
        <v>64</v>
      </c>
      <c r="H36" s="16" t="s">
        <v>64</v>
      </c>
      <c r="I36" s="16" t="s">
        <v>64</v>
      </c>
      <c r="J36" s="16" t="s">
        <v>64</v>
      </c>
      <c r="K36" s="16" t="s">
        <v>64</v>
      </c>
      <c r="L36" s="16" t="s">
        <v>64</v>
      </c>
      <c r="M36" s="16" t="s">
        <v>64</v>
      </c>
      <c r="N36" s="16" t="s">
        <v>64</v>
      </c>
      <c r="O36" s="16" t="s">
        <v>64</v>
      </c>
      <c r="P36" s="16" t="s">
        <v>64</v>
      </c>
      <c r="Q36" s="16" t="s">
        <v>64</v>
      </c>
      <c r="R36" s="16" t="s">
        <v>64</v>
      </c>
      <c r="S36" s="16" t="s">
        <v>64</v>
      </c>
      <c r="T36" s="16" t="s">
        <v>64</v>
      </c>
      <c r="U36" s="16" t="s">
        <v>64</v>
      </c>
      <c r="V36" s="16" t="s">
        <v>64</v>
      </c>
      <c r="W36" s="16" t="s">
        <v>64</v>
      </c>
      <c r="X36" s="16" t="s">
        <v>64</v>
      </c>
      <c r="Y36" s="16" t="s">
        <v>64</v>
      </c>
      <c r="Z36" s="16" t="s">
        <v>64</v>
      </c>
    </row>
    <row r="39" spans="1:26">
      <c r="A39" s="16" t="s">
        <v>92</v>
      </c>
    </row>
    <row r="40" spans="1:26">
      <c r="A40" s="16" t="s">
        <v>71</v>
      </c>
      <c r="B40" s="16" t="s">
        <v>72</v>
      </c>
      <c r="C40" s="16">
        <v>1.3</v>
      </c>
      <c r="D40" s="16" t="s">
        <v>69</v>
      </c>
      <c r="E40" s="16" t="s">
        <v>68</v>
      </c>
      <c r="F40" s="16" t="s">
        <v>67</v>
      </c>
      <c r="G40" s="16" t="s">
        <v>66</v>
      </c>
      <c r="H40" s="16" t="b">
        <v>0</v>
      </c>
      <c r="I40" s="16">
        <v>1</v>
      </c>
      <c r="O40" s="16">
        <v>1</v>
      </c>
      <c r="Q40" s="16">
        <v>1</v>
      </c>
      <c r="R40" s="16">
        <v>6</v>
      </c>
      <c r="S40" s="16">
        <v>384</v>
      </c>
      <c r="T40" s="16">
        <v>485</v>
      </c>
      <c r="U40" s="16" t="s">
        <v>65</v>
      </c>
      <c r="Y40" s="16">
        <v>0</v>
      </c>
    </row>
    <row r="41" spans="1:26">
      <c r="C41" s="16">
        <v>1</v>
      </c>
      <c r="D41" s="16">
        <v>2</v>
      </c>
      <c r="E41" s="16">
        <v>3</v>
      </c>
      <c r="F41" s="16">
        <v>4</v>
      </c>
      <c r="G41" s="16">
        <v>5</v>
      </c>
      <c r="H41" s="16">
        <v>6</v>
      </c>
      <c r="I41" s="16">
        <v>7</v>
      </c>
      <c r="J41" s="16">
        <v>8</v>
      </c>
      <c r="K41" s="16">
        <v>9</v>
      </c>
      <c r="L41" s="16">
        <v>10</v>
      </c>
      <c r="M41" s="16">
        <v>11</v>
      </c>
      <c r="N41" s="16">
        <v>12</v>
      </c>
      <c r="O41" s="16">
        <v>13</v>
      </c>
      <c r="P41" s="16">
        <v>14</v>
      </c>
      <c r="Q41" s="16">
        <v>15</v>
      </c>
      <c r="R41" s="16">
        <v>16</v>
      </c>
      <c r="S41" s="16">
        <v>17</v>
      </c>
      <c r="T41" s="16">
        <v>18</v>
      </c>
      <c r="U41" s="16">
        <v>19</v>
      </c>
      <c r="V41" s="16">
        <v>20</v>
      </c>
      <c r="W41" s="16">
        <v>21</v>
      </c>
      <c r="X41" s="16">
        <v>22</v>
      </c>
      <c r="Y41" s="16">
        <v>23</v>
      </c>
      <c r="Z41" s="16">
        <v>24</v>
      </c>
    </row>
    <row r="42" spans="1:26">
      <c r="C42" s="16">
        <v>242.49998028904099</v>
      </c>
      <c r="D42" s="16">
        <v>247.46238932929799</v>
      </c>
      <c r="E42" s="16">
        <v>270.245327221281</v>
      </c>
      <c r="F42" s="16">
        <v>35.165207329377402</v>
      </c>
      <c r="G42" s="16">
        <v>50.4618542593225</v>
      </c>
      <c r="H42" s="16">
        <v>22.339818604086901</v>
      </c>
      <c r="I42" s="16" t="s">
        <v>64</v>
      </c>
      <c r="J42" s="16" t="s">
        <v>64</v>
      </c>
      <c r="Z42" s="16" t="s">
        <v>64</v>
      </c>
    </row>
    <row r="43" spans="1:26">
      <c r="C43" s="16">
        <v>256.561279296875</v>
      </c>
      <c r="D43" s="16">
        <v>217.09706144256401</v>
      </c>
      <c r="E43" s="16">
        <v>234.830763355134</v>
      </c>
      <c r="F43" s="16">
        <v>46.816767614976797</v>
      </c>
      <c r="G43" s="16">
        <v>43.824017925550002</v>
      </c>
      <c r="H43" s="16">
        <v>56.649687772025999</v>
      </c>
      <c r="I43" s="16" t="s">
        <v>64</v>
      </c>
      <c r="J43" s="16" t="s">
        <v>64</v>
      </c>
      <c r="Z43" s="16" t="s">
        <v>64</v>
      </c>
    </row>
    <row r="44" spans="1:26">
      <c r="C44" s="16">
        <v>223.85027044043099</v>
      </c>
      <c r="D44" s="16">
        <v>228.40054836620001</v>
      </c>
      <c r="E44" s="16">
        <v>201.51239322223699</v>
      </c>
      <c r="F44" s="16">
        <v>34.021621579716403</v>
      </c>
      <c r="G44" s="16">
        <v>28.162431497297501</v>
      </c>
      <c r="H44" s="16">
        <v>49.441351290346702</v>
      </c>
      <c r="I44" s="16" t="s">
        <v>64</v>
      </c>
      <c r="J44" s="16" t="s">
        <v>64</v>
      </c>
      <c r="Z44" s="16" t="s">
        <v>64</v>
      </c>
    </row>
    <row r="45" spans="1:26">
      <c r="C45" s="16">
        <v>246.83003173591001</v>
      </c>
      <c r="D45" s="16">
        <v>218.22740244845701</v>
      </c>
      <c r="E45" s="16">
        <v>202.25636740042901</v>
      </c>
      <c r="F45" s="16">
        <v>32.7391593033351</v>
      </c>
      <c r="G45" s="16">
        <v>67.114504722886096</v>
      </c>
      <c r="H45" s="16">
        <v>40.343336042853899</v>
      </c>
      <c r="I45" s="16" t="s">
        <v>64</v>
      </c>
      <c r="J45" s="16" t="s">
        <v>64</v>
      </c>
      <c r="Z45" s="16" t="s">
        <v>64</v>
      </c>
    </row>
    <row r="46" spans="1:26">
      <c r="C46" s="16">
        <v>188.62851624646501</v>
      </c>
      <c r="D46" s="16">
        <v>184.17941460967899</v>
      </c>
      <c r="E46" s="16">
        <v>221.181457050852</v>
      </c>
      <c r="F46" s="16">
        <v>36.880631727394103</v>
      </c>
      <c r="G46" s="16">
        <v>55.390475915891599</v>
      </c>
      <c r="H46" s="16">
        <v>46.8096654872949</v>
      </c>
      <c r="I46" s="16" t="s">
        <v>64</v>
      </c>
      <c r="J46" s="16" t="s">
        <v>64</v>
      </c>
      <c r="Z46" s="16" t="s">
        <v>64</v>
      </c>
    </row>
    <row r="47" spans="1:26">
      <c r="C47" s="16">
        <v>201.83273315315401</v>
      </c>
      <c r="D47" s="16">
        <v>175.78392891016</v>
      </c>
      <c r="E47" s="16">
        <v>179.95966331519901</v>
      </c>
      <c r="F47" s="16">
        <v>34.233491760285197</v>
      </c>
      <c r="G47" s="16">
        <v>65.970492760592805</v>
      </c>
      <c r="H47" s="16">
        <v>45.718527720251501</v>
      </c>
      <c r="I47" s="16" t="s">
        <v>64</v>
      </c>
      <c r="J47" s="16" t="s">
        <v>64</v>
      </c>
      <c r="Z47" s="16" t="s">
        <v>64</v>
      </c>
    </row>
    <row r="48" spans="1:26">
      <c r="C48" s="16">
        <v>139.63516783520501</v>
      </c>
      <c r="D48" s="16">
        <v>159.546134481374</v>
      </c>
      <c r="E48" s="16">
        <v>144.07794035502599</v>
      </c>
      <c r="F48" s="16">
        <v>44.938379710107199</v>
      </c>
      <c r="G48" s="16">
        <v>40.769902421837799</v>
      </c>
      <c r="H48" s="16">
        <v>41.929214899136497</v>
      </c>
      <c r="I48" s="16" t="s">
        <v>64</v>
      </c>
      <c r="J48" s="16" t="s">
        <v>64</v>
      </c>
      <c r="K48" s="16" t="s">
        <v>64</v>
      </c>
      <c r="L48" s="16" t="s">
        <v>64</v>
      </c>
      <c r="M48" s="16" t="s">
        <v>64</v>
      </c>
      <c r="N48" s="16" t="s">
        <v>64</v>
      </c>
      <c r="O48" s="16" t="s">
        <v>64</v>
      </c>
      <c r="P48" s="16" t="s">
        <v>64</v>
      </c>
      <c r="Q48" s="16" t="s">
        <v>64</v>
      </c>
      <c r="R48" s="16" t="s">
        <v>64</v>
      </c>
      <c r="S48" s="16" t="s">
        <v>64</v>
      </c>
      <c r="T48" s="16" t="s">
        <v>64</v>
      </c>
      <c r="U48" s="16" t="s">
        <v>64</v>
      </c>
      <c r="V48" s="16" t="s">
        <v>64</v>
      </c>
      <c r="W48" s="16" t="s">
        <v>64</v>
      </c>
      <c r="X48" s="16" t="s">
        <v>64</v>
      </c>
      <c r="Y48" s="16" t="s">
        <v>64</v>
      </c>
      <c r="Z48" s="16" t="s">
        <v>64</v>
      </c>
    </row>
    <row r="49" spans="1:26">
      <c r="C49" s="16">
        <v>149.54775962763199</v>
      </c>
      <c r="D49" s="16">
        <v>166.28654364503399</v>
      </c>
      <c r="E49" s="16">
        <v>108.431040541835</v>
      </c>
      <c r="F49" s="16">
        <v>49.704623784462797</v>
      </c>
      <c r="G49" s="16">
        <v>45.953450724545299</v>
      </c>
      <c r="H49" s="16">
        <v>50.548575357029399</v>
      </c>
      <c r="I49" s="16" t="s">
        <v>64</v>
      </c>
      <c r="J49" s="16" t="s">
        <v>64</v>
      </c>
      <c r="K49" s="16" t="s">
        <v>64</v>
      </c>
      <c r="L49" s="16" t="s">
        <v>64</v>
      </c>
      <c r="M49" s="16" t="s">
        <v>64</v>
      </c>
      <c r="N49" s="16" t="s">
        <v>64</v>
      </c>
      <c r="O49" s="16" t="s">
        <v>64</v>
      </c>
      <c r="P49" s="16" t="s">
        <v>64</v>
      </c>
      <c r="Q49" s="16" t="s">
        <v>64</v>
      </c>
      <c r="R49" s="16" t="s">
        <v>64</v>
      </c>
      <c r="S49" s="16" t="s">
        <v>64</v>
      </c>
      <c r="T49" s="16" t="s">
        <v>64</v>
      </c>
      <c r="U49" s="16" t="s">
        <v>64</v>
      </c>
      <c r="V49" s="16" t="s">
        <v>64</v>
      </c>
      <c r="W49" s="16" t="s">
        <v>64</v>
      </c>
      <c r="X49" s="16" t="s">
        <v>64</v>
      </c>
      <c r="Y49" s="16" t="s">
        <v>64</v>
      </c>
      <c r="Z49" s="16" t="s">
        <v>64</v>
      </c>
    </row>
    <row r="50" spans="1:26">
      <c r="C50" s="16">
        <v>146.213590588394</v>
      </c>
      <c r="D50" s="16">
        <v>145.65001759831</v>
      </c>
      <c r="E50" s="16">
        <v>165.01821967725101</v>
      </c>
      <c r="F50" s="16">
        <v>52.2108088879761</v>
      </c>
      <c r="G50" s="16">
        <v>27.3738516246103</v>
      </c>
      <c r="H50" s="16">
        <v>33.730628319338003</v>
      </c>
      <c r="I50" s="16" t="s">
        <v>64</v>
      </c>
      <c r="J50" s="16" t="s">
        <v>64</v>
      </c>
      <c r="K50" s="16" t="s">
        <v>64</v>
      </c>
      <c r="L50" s="16" t="s">
        <v>64</v>
      </c>
      <c r="M50" s="16" t="s">
        <v>64</v>
      </c>
      <c r="N50" s="16" t="s">
        <v>64</v>
      </c>
      <c r="O50" s="16" t="s">
        <v>64</v>
      </c>
      <c r="P50" s="16" t="s">
        <v>64</v>
      </c>
      <c r="Q50" s="16" t="s">
        <v>64</v>
      </c>
      <c r="R50" s="16" t="s">
        <v>64</v>
      </c>
      <c r="S50" s="16" t="s">
        <v>64</v>
      </c>
      <c r="T50" s="16" t="s">
        <v>64</v>
      </c>
      <c r="U50" s="16" t="s">
        <v>64</v>
      </c>
      <c r="V50" s="16" t="s">
        <v>64</v>
      </c>
      <c r="W50" s="16" t="s">
        <v>64</v>
      </c>
      <c r="X50" s="16" t="s">
        <v>64</v>
      </c>
      <c r="Y50" s="16" t="s">
        <v>64</v>
      </c>
      <c r="Z50" s="16" t="s">
        <v>64</v>
      </c>
    </row>
    <row r="51" spans="1:26">
      <c r="C51" s="16">
        <v>126.814479083726</v>
      </c>
      <c r="D51" s="16">
        <v>147.17661915929901</v>
      </c>
      <c r="E51" s="16">
        <v>87.459439971157195</v>
      </c>
      <c r="F51" s="16">
        <v>46.959926168121598</v>
      </c>
      <c r="G51" s="16">
        <v>66.777554533901693</v>
      </c>
      <c r="H51" s="16">
        <v>48.913635778189402</v>
      </c>
      <c r="I51" s="16" t="s">
        <v>64</v>
      </c>
      <c r="J51" s="16" t="s">
        <v>64</v>
      </c>
      <c r="K51" s="16" t="s">
        <v>64</v>
      </c>
      <c r="L51" s="16" t="s">
        <v>64</v>
      </c>
      <c r="M51" s="16" t="s">
        <v>64</v>
      </c>
      <c r="N51" s="16" t="s">
        <v>64</v>
      </c>
      <c r="O51" s="16" t="s">
        <v>64</v>
      </c>
      <c r="P51" s="16" t="s">
        <v>64</v>
      </c>
      <c r="Q51" s="16" t="s">
        <v>64</v>
      </c>
      <c r="R51" s="16" t="s">
        <v>64</v>
      </c>
      <c r="S51" s="16" t="s">
        <v>64</v>
      </c>
      <c r="T51" s="16" t="s">
        <v>64</v>
      </c>
      <c r="U51" s="16" t="s">
        <v>64</v>
      </c>
      <c r="V51" s="16" t="s">
        <v>64</v>
      </c>
      <c r="W51" s="16" t="s">
        <v>64</v>
      </c>
      <c r="X51" s="16" t="s">
        <v>64</v>
      </c>
      <c r="Y51" s="16" t="s">
        <v>64</v>
      </c>
      <c r="Z51" s="16" t="s">
        <v>64</v>
      </c>
    </row>
    <row r="52" spans="1:26">
      <c r="C52" s="16">
        <v>112.210830063218</v>
      </c>
      <c r="D52" s="16">
        <v>115.301418327899</v>
      </c>
      <c r="E52" s="16">
        <v>134.91629984255999</v>
      </c>
      <c r="F52" s="16">
        <v>58.263158952509102</v>
      </c>
      <c r="G52" s="16">
        <v>60.3837844888739</v>
      </c>
      <c r="H52" s="16">
        <v>46.581456384098601</v>
      </c>
      <c r="I52" s="16" t="s">
        <v>64</v>
      </c>
      <c r="J52" s="16" t="s">
        <v>64</v>
      </c>
      <c r="K52" s="16" t="s">
        <v>64</v>
      </c>
      <c r="L52" s="16" t="s">
        <v>64</v>
      </c>
      <c r="M52" s="16" t="s">
        <v>64</v>
      </c>
      <c r="N52" s="16" t="s">
        <v>64</v>
      </c>
      <c r="O52" s="16" t="s">
        <v>64</v>
      </c>
      <c r="P52" s="16" t="s">
        <v>64</v>
      </c>
      <c r="Q52" s="16" t="s">
        <v>64</v>
      </c>
      <c r="R52" s="16" t="s">
        <v>64</v>
      </c>
      <c r="S52" s="16" t="s">
        <v>64</v>
      </c>
      <c r="T52" s="16" t="s">
        <v>64</v>
      </c>
      <c r="U52" s="16" t="s">
        <v>64</v>
      </c>
      <c r="V52" s="16" t="s">
        <v>64</v>
      </c>
      <c r="W52" s="16" t="s">
        <v>64</v>
      </c>
      <c r="X52" s="16" t="s">
        <v>64</v>
      </c>
      <c r="Y52" s="16" t="s">
        <v>64</v>
      </c>
      <c r="Z52" s="16" t="s">
        <v>64</v>
      </c>
    </row>
    <row r="53" spans="1:26">
      <c r="C53" s="16">
        <v>127.443354014848</v>
      </c>
      <c r="D53" s="16">
        <v>118.34535078031401</v>
      </c>
      <c r="E53" s="16">
        <v>106.07475058767901</v>
      </c>
      <c r="F53" s="16">
        <v>45.309872144962497</v>
      </c>
      <c r="G53" s="16">
        <v>65.643066703347998</v>
      </c>
      <c r="H53" s="16">
        <v>40.125859275035701</v>
      </c>
      <c r="I53" s="16" t="s">
        <v>64</v>
      </c>
      <c r="J53" s="16" t="s">
        <v>64</v>
      </c>
      <c r="K53" s="16" t="s">
        <v>64</v>
      </c>
      <c r="L53" s="16" t="s">
        <v>64</v>
      </c>
      <c r="M53" s="16" t="s">
        <v>64</v>
      </c>
      <c r="N53" s="16" t="s">
        <v>64</v>
      </c>
      <c r="O53" s="16" t="s">
        <v>64</v>
      </c>
      <c r="P53" s="16" t="s">
        <v>64</v>
      </c>
      <c r="Q53" s="16" t="s">
        <v>64</v>
      </c>
      <c r="R53" s="16" t="s">
        <v>64</v>
      </c>
      <c r="S53" s="16" t="s">
        <v>64</v>
      </c>
      <c r="T53" s="16" t="s">
        <v>64</v>
      </c>
      <c r="U53" s="16" t="s">
        <v>64</v>
      </c>
      <c r="V53" s="16" t="s">
        <v>64</v>
      </c>
      <c r="W53" s="16" t="s">
        <v>64</v>
      </c>
      <c r="X53" s="16" t="s">
        <v>64</v>
      </c>
      <c r="Y53" s="16" t="s">
        <v>64</v>
      </c>
      <c r="Z53" s="16" t="s">
        <v>64</v>
      </c>
    </row>
    <row r="54" spans="1:26">
      <c r="C54" s="16">
        <v>134.46054270542101</v>
      </c>
      <c r="D54" s="16">
        <v>105.559665395777</v>
      </c>
      <c r="E54" s="16">
        <v>100.816652611956</v>
      </c>
      <c r="F54" s="16">
        <v>66.917111282683507</v>
      </c>
      <c r="G54" s="16">
        <v>57.932895534623903</v>
      </c>
      <c r="H54" s="16">
        <v>63.933586804449497</v>
      </c>
      <c r="I54" s="16" t="s">
        <v>64</v>
      </c>
      <c r="J54" s="16" t="s">
        <v>64</v>
      </c>
      <c r="K54" s="16" t="s">
        <v>64</v>
      </c>
      <c r="L54" s="16" t="s">
        <v>64</v>
      </c>
      <c r="M54" s="16" t="s">
        <v>64</v>
      </c>
      <c r="N54" s="16" t="s">
        <v>64</v>
      </c>
      <c r="O54" s="16" t="s">
        <v>64</v>
      </c>
      <c r="P54" s="16" t="s">
        <v>64</v>
      </c>
      <c r="Q54" s="16" t="s">
        <v>64</v>
      </c>
      <c r="R54" s="16" t="s">
        <v>64</v>
      </c>
      <c r="S54" s="16" t="s">
        <v>64</v>
      </c>
      <c r="T54" s="16" t="s">
        <v>64</v>
      </c>
      <c r="U54" s="16" t="s">
        <v>64</v>
      </c>
      <c r="V54" s="16" t="s">
        <v>64</v>
      </c>
      <c r="W54" s="16" t="s">
        <v>64</v>
      </c>
      <c r="X54" s="16" t="s">
        <v>64</v>
      </c>
      <c r="Y54" s="16" t="s">
        <v>64</v>
      </c>
      <c r="Z54" s="16" t="s">
        <v>64</v>
      </c>
    </row>
    <row r="55" spans="1:26">
      <c r="C55" s="16">
        <v>118.168020821269</v>
      </c>
      <c r="D55" s="16">
        <v>134.44743452743899</v>
      </c>
      <c r="E55" s="16">
        <v>111.40148050516601</v>
      </c>
      <c r="F55" s="16">
        <v>58.828804368132701</v>
      </c>
      <c r="G55" s="16">
        <v>40.2060132058633</v>
      </c>
      <c r="H55" s="16">
        <v>54.3435044116029</v>
      </c>
      <c r="I55" s="16" t="s">
        <v>64</v>
      </c>
      <c r="J55" s="16" t="s">
        <v>64</v>
      </c>
      <c r="K55" s="16" t="s">
        <v>64</v>
      </c>
      <c r="L55" s="16" t="s">
        <v>64</v>
      </c>
      <c r="M55" s="16" t="s">
        <v>64</v>
      </c>
      <c r="N55" s="16" t="s">
        <v>64</v>
      </c>
      <c r="O55" s="16" t="s">
        <v>64</v>
      </c>
      <c r="P55" s="16" t="s">
        <v>64</v>
      </c>
      <c r="Q55" s="16" t="s">
        <v>64</v>
      </c>
      <c r="R55" s="16" t="s">
        <v>64</v>
      </c>
      <c r="S55" s="16" t="s">
        <v>64</v>
      </c>
      <c r="T55" s="16" t="s">
        <v>64</v>
      </c>
      <c r="U55" s="16" t="s">
        <v>64</v>
      </c>
      <c r="V55" s="16" t="s">
        <v>64</v>
      </c>
      <c r="W55" s="16" t="s">
        <v>64</v>
      </c>
      <c r="X55" s="16" t="s">
        <v>64</v>
      </c>
      <c r="Y55" s="16" t="s">
        <v>64</v>
      </c>
      <c r="Z55" s="16" t="s">
        <v>64</v>
      </c>
    </row>
    <row r="56" spans="1:26">
      <c r="C56" s="16">
        <v>66.526050791814697</v>
      </c>
      <c r="D56" s="16">
        <v>41.007832763181597</v>
      </c>
      <c r="E56" s="16">
        <v>28.835830825760102</v>
      </c>
      <c r="F56" s="16">
        <v>21.677646832740699</v>
      </c>
      <c r="G56" s="16">
        <v>28.070671481894198</v>
      </c>
      <c r="H56" s="16">
        <v>47.767345015948699</v>
      </c>
      <c r="I56" s="16" t="s">
        <v>64</v>
      </c>
      <c r="J56" s="16" t="s">
        <v>64</v>
      </c>
      <c r="K56" s="16" t="s">
        <v>64</v>
      </c>
      <c r="L56" s="16" t="s">
        <v>64</v>
      </c>
      <c r="M56" s="16" t="s">
        <v>64</v>
      </c>
      <c r="N56" s="16" t="s">
        <v>64</v>
      </c>
      <c r="O56" s="16" t="s">
        <v>64</v>
      </c>
      <c r="P56" s="16" t="s">
        <v>64</v>
      </c>
      <c r="Q56" s="16" t="s">
        <v>64</v>
      </c>
      <c r="R56" s="16" t="s">
        <v>64</v>
      </c>
      <c r="S56" s="16" t="s">
        <v>64</v>
      </c>
      <c r="T56" s="16" t="s">
        <v>64</v>
      </c>
      <c r="U56" s="16" t="s">
        <v>64</v>
      </c>
      <c r="V56" s="16" t="s">
        <v>64</v>
      </c>
      <c r="W56" s="16" t="s">
        <v>64</v>
      </c>
      <c r="X56" s="16" t="s">
        <v>64</v>
      </c>
      <c r="Y56" s="16" t="s">
        <v>64</v>
      </c>
      <c r="Z56" s="16" t="s">
        <v>64</v>
      </c>
    </row>
    <row r="57" spans="1:26">
      <c r="C57" s="16">
        <v>2906.9767441860399</v>
      </c>
      <c r="D57" s="16">
        <v>812.68882175226702</v>
      </c>
      <c r="E57" s="16">
        <v>5763.9257294429799</v>
      </c>
      <c r="F57" s="16">
        <v>1693.2668329177</v>
      </c>
      <c r="G57" s="16">
        <v>3260.3550295857999</v>
      </c>
      <c r="H57" s="16">
        <v>8310.3448275861792</v>
      </c>
      <c r="I57" s="16" t="s">
        <v>64</v>
      </c>
      <c r="J57" s="16" t="s">
        <v>64</v>
      </c>
      <c r="K57" s="16" t="s">
        <v>64</v>
      </c>
      <c r="L57" s="16" t="s">
        <v>64</v>
      </c>
      <c r="M57" s="16" t="s">
        <v>64</v>
      </c>
      <c r="N57" s="16" t="s">
        <v>64</v>
      </c>
      <c r="O57" s="16" t="s">
        <v>64</v>
      </c>
      <c r="P57" s="16" t="s">
        <v>64</v>
      </c>
      <c r="Q57" s="16" t="s">
        <v>64</v>
      </c>
      <c r="R57" s="16" t="s">
        <v>64</v>
      </c>
      <c r="S57" s="16" t="s">
        <v>64</v>
      </c>
      <c r="T57" s="16" t="s">
        <v>64</v>
      </c>
      <c r="U57" s="16" t="s">
        <v>64</v>
      </c>
      <c r="V57" s="16" t="s">
        <v>64</v>
      </c>
      <c r="W57" s="16" t="s">
        <v>64</v>
      </c>
      <c r="X57" s="16" t="s">
        <v>64</v>
      </c>
      <c r="Y57" s="16" t="s">
        <v>64</v>
      </c>
      <c r="Z57" s="16" t="s">
        <v>64</v>
      </c>
    </row>
    <row r="58" spans="1:26">
      <c r="A58" s="16" t="s">
        <v>63</v>
      </c>
    </row>
    <row r="61" spans="1:26">
      <c r="A61" s="17"/>
      <c r="B61" s="16" t="s">
        <v>90</v>
      </c>
      <c r="C61" s="16" t="s">
        <v>89</v>
      </c>
      <c r="D61" s="16" t="s">
        <v>88</v>
      </c>
      <c r="E61" s="16" t="s">
        <v>87</v>
      </c>
      <c r="F61" s="16" t="s">
        <v>86</v>
      </c>
      <c r="H61" s="17"/>
      <c r="I61" s="16" t="s">
        <v>90</v>
      </c>
      <c r="J61" s="16" t="s">
        <v>89</v>
      </c>
      <c r="K61" s="16" t="s">
        <v>88</v>
      </c>
      <c r="L61" s="16" t="s">
        <v>87</v>
      </c>
      <c r="M61" s="16" t="s">
        <v>86</v>
      </c>
    </row>
    <row r="62" spans="1:26">
      <c r="A62" s="16" t="s">
        <v>91</v>
      </c>
      <c r="D62" s="18"/>
      <c r="E62" s="18"/>
      <c r="H62" s="16" t="s">
        <v>91</v>
      </c>
      <c r="K62" s="18"/>
      <c r="L62" s="18"/>
    </row>
    <row r="63" spans="1:26">
      <c r="A63" s="16" t="s">
        <v>84</v>
      </c>
      <c r="B63" s="16">
        <f t="shared" ref="B63:B75" si="0">B64/2</f>
        <v>3.125E-2</v>
      </c>
      <c r="C63" s="16">
        <v>8.3389786179579914</v>
      </c>
      <c r="D63" s="18">
        <f t="shared" ref="D63:D76" si="1" xml:space="preserve"> (B$79+B63+D$79-((B$79+B63+D$79)^2-4*D$79*B63)^0.5)*C$79/(2*D$79)</f>
        <v>0.52603171538852034</v>
      </c>
      <c r="E63" s="18">
        <f t="shared" ref="E63:E76" si="2">C63-D63</f>
        <v>7.8129469025694709</v>
      </c>
      <c r="F63" s="16">
        <f t="shared" ref="F63:F76" si="3">E63*E63</f>
        <v>61.04213930236989</v>
      </c>
      <c r="H63" s="16" t="s">
        <v>84</v>
      </c>
      <c r="K63" s="18"/>
      <c r="L63" s="18"/>
    </row>
    <row r="64" spans="1:26">
      <c r="A64" s="16" t="s">
        <v>83</v>
      </c>
      <c r="B64" s="16">
        <f t="shared" si="0"/>
        <v>6.25E-2</v>
      </c>
      <c r="C64" s="16">
        <v>0.61228690438467481</v>
      </c>
      <c r="D64" s="18">
        <f t="shared" si="1"/>
        <v>1.0481396363223021</v>
      </c>
      <c r="E64" s="18">
        <f t="shared" si="2"/>
        <v>-0.4358527319376273</v>
      </c>
      <c r="F64" s="16">
        <f t="shared" si="3"/>
        <v>0.18996760393749321</v>
      </c>
      <c r="H64" s="16" t="s">
        <v>58</v>
      </c>
      <c r="K64" s="18"/>
      <c r="L64" s="18"/>
    </row>
    <row r="65" spans="2:13">
      <c r="B65" s="16">
        <f t="shared" si="0"/>
        <v>0.125</v>
      </c>
      <c r="C65" s="16">
        <v>4.2878184609470082</v>
      </c>
      <c r="D65" s="18">
        <f t="shared" si="1"/>
        <v>2.0807467964959989</v>
      </c>
      <c r="E65" s="18">
        <f t="shared" si="2"/>
        <v>2.2070716644510093</v>
      </c>
      <c r="F65" s="16">
        <f t="shared" si="3"/>
        <v>4.8711653320225485</v>
      </c>
      <c r="K65" s="18"/>
      <c r="L65" s="18"/>
    </row>
    <row r="66" spans="2:13">
      <c r="B66" s="16">
        <f t="shared" si="0"/>
        <v>0.25</v>
      </c>
      <c r="C66" s="16">
        <v>7.80951607789234</v>
      </c>
      <c r="D66" s="18">
        <f t="shared" si="1"/>
        <v>4.1006365620506093</v>
      </c>
      <c r="E66" s="18">
        <f t="shared" si="2"/>
        <v>3.7088795158417307</v>
      </c>
      <c r="F66" s="16">
        <f t="shared" si="3"/>
        <v>13.75578726303039</v>
      </c>
      <c r="I66" s="16">
        <v>0.21701171875</v>
      </c>
      <c r="J66" s="16">
        <v>6.9414197604246652</v>
      </c>
      <c r="K66" s="18">
        <f t="shared" ref="K66:K76" si="4" xml:space="preserve"> (I$79+I66+K$79-((I$79+I66+K$79)^2-4*K$79*I66)^0.5)*J$79/(2*K$79)</f>
        <v>8.2270265024451525</v>
      </c>
      <c r="L66" s="18">
        <f t="shared" ref="L66:L76" si="5">J66-K66</f>
        <v>-1.2856067420204873</v>
      </c>
      <c r="M66" s="16">
        <f t="shared" ref="M66:M76" si="6">L66*L66</f>
        <v>1.6527846951285319</v>
      </c>
    </row>
    <row r="67" spans="2:13">
      <c r="B67" s="16">
        <f t="shared" si="0"/>
        <v>0.5</v>
      </c>
      <c r="C67" s="16">
        <v>7.4835127380607247</v>
      </c>
      <c r="D67" s="18">
        <f t="shared" si="1"/>
        <v>7.9675874806072526</v>
      </c>
      <c r="E67" s="18">
        <f t="shared" si="2"/>
        <v>-0.48407474254652794</v>
      </c>
      <c r="F67" s="16">
        <f t="shared" si="3"/>
        <v>0.2343283563714873</v>
      </c>
      <c r="I67" s="16">
        <v>0.4340234375</v>
      </c>
      <c r="J67" s="16">
        <v>27.487096651708967</v>
      </c>
      <c r="K67" s="18">
        <f t="shared" si="4"/>
        <v>15.734730960126223</v>
      </c>
      <c r="L67" s="18">
        <f t="shared" si="5"/>
        <v>11.752365691582744</v>
      </c>
      <c r="M67" s="16">
        <f t="shared" si="6"/>
        <v>138.11809934869115</v>
      </c>
    </row>
    <row r="68" spans="2:13">
      <c r="B68" s="16">
        <f t="shared" si="0"/>
        <v>1</v>
      </c>
      <c r="C68" s="16">
        <v>39.293942621318337</v>
      </c>
      <c r="D68" s="18">
        <f t="shared" si="1"/>
        <v>15.071897088865702</v>
      </c>
      <c r="E68" s="18">
        <f t="shared" si="2"/>
        <v>24.222045532452633</v>
      </c>
      <c r="F68" s="16">
        <f t="shared" si="3"/>
        <v>586.70748977620849</v>
      </c>
      <c r="I68" s="16">
        <v>0.868046875</v>
      </c>
      <c r="J68" s="16">
        <v>35.10199818938132</v>
      </c>
      <c r="K68" s="18">
        <f t="shared" si="4"/>
        <v>28.904707310535567</v>
      </c>
      <c r="L68" s="18">
        <f t="shared" si="5"/>
        <v>6.1972908788457524</v>
      </c>
      <c r="M68" s="16">
        <f t="shared" si="6"/>
        <v>38.406414237024755</v>
      </c>
    </row>
    <row r="69" spans="2:13">
      <c r="B69" s="16">
        <f t="shared" si="0"/>
        <v>2</v>
      </c>
      <c r="C69" s="16">
        <v>28.421781271500322</v>
      </c>
      <c r="D69" s="18">
        <f t="shared" si="1"/>
        <v>27.174561512897238</v>
      </c>
      <c r="E69" s="18">
        <f t="shared" si="2"/>
        <v>1.2472197586030838</v>
      </c>
      <c r="F69" s="16">
        <f t="shared" si="3"/>
        <v>1.5555571262499346</v>
      </c>
      <c r="I69" s="16">
        <v>1.73609375</v>
      </c>
      <c r="J69" s="16">
        <v>38.812861438287982</v>
      </c>
      <c r="K69" s="18">
        <f t="shared" si="4"/>
        <v>49.55051451761377</v>
      </c>
      <c r="L69" s="18">
        <f t="shared" si="5"/>
        <v>-10.737653079325788</v>
      </c>
      <c r="M69" s="16">
        <f t="shared" si="6"/>
        <v>115.29719365195459</v>
      </c>
    </row>
    <row r="70" spans="2:13">
      <c r="B70" s="16">
        <f t="shared" si="0"/>
        <v>4</v>
      </c>
      <c r="C70" s="16">
        <v>34.753080890535017</v>
      </c>
      <c r="D70" s="18">
        <f t="shared" si="1"/>
        <v>45.314191419797964</v>
      </c>
      <c r="E70" s="18">
        <f t="shared" si="2"/>
        <v>-10.561110529262947</v>
      </c>
      <c r="F70" s="16">
        <f t="shared" si="3"/>
        <v>111.53705561130869</v>
      </c>
      <c r="I70" s="16">
        <v>3.4721875</v>
      </c>
      <c r="J70" s="16">
        <v>95.837159526350987</v>
      </c>
      <c r="K70" s="18">
        <f t="shared" si="4"/>
        <v>76.608329175701357</v>
      </c>
      <c r="L70" s="18">
        <f t="shared" si="5"/>
        <v>19.228830350649631</v>
      </c>
      <c r="M70" s="16">
        <f t="shared" si="6"/>
        <v>369.7479166540644</v>
      </c>
    </row>
    <row r="71" spans="2:13">
      <c r="B71" s="16">
        <f t="shared" si="0"/>
        <v>8</v>
      </c>
      <c r="C71" s="16">
        <v>72.858775126171025</v>
      </c>
      <c r="D71" s="18">
        <f t="shared" si="1"/>
        <v>67.785181510636207</v>
      </c>
      <c r="E71" s="18">
        <f t="shared" si="2"/>
        <v>5.0735936155348185</v>
      </c>
      <c r="F71" s="16">
        <f t="shared" si="3"/>
        <v>25.741352175595672</v>
      </c>
      <c r="I71" s="16">
        <v>6.944375</v>
      </c>
      <c r="J71" s="16">
        <v>87.309415141056988</v>
      </c>
      <c r="K71" s="18">
        <f t="shared" si="4"/>
        <v>104.57603914969323</v>
      </c>
      <c r="L71" s="18">
        <f t="shared" si="5"/>
        <v>-17.266624008636242</v>
      </c>
      <c r="M71" s="16">
        <f t="shared" si="6"/>
        <v>298.13630465561351</v>
      </c>
    </row>
    <row r="72" spans="2:13">
      <c r="B72" s="16">
        <f t="shared" si="0"/>
        <v>16</v>
      </c>
      <c r="C72" s="16">
        <v>84.996462635665353</v>
      </c>
      <c r="D72" s="18">
        <f t="shared" si="1"/>
        <v>89.798568504418768</v>
      </c>
      <c r="E72" s="18">
        <f t="shared" si="2"/>
        <v>-4.8021058687534151</v>
      </c>
      <c r="F72" s="16">
        <f t="shared" si="3"/>
        <v>23.06022077471599</v>
      </c>
      <c r="I72" s="16">
        <v>13.88875</v>
      </c>
      <c r="J72" s="16">
        <v>126.47716468009865</v>
      </c>
      <c r="K72" s="18">
        <f t="shared" si="4"/>
        <v>127.17022524364056</v>
      </c>
      <c r="L72" s="18">
        <f t="shared" si="5"/>
        <v>-0.69306056354190559</v>
      </c>
      <c r="M72" s="16">
        <f t="shared" si="6"/>
        <v>0.48033294473702376</v>
      </c>
    </row>
    <row r="73" spans="2:13">
      <c r="B73" s="16">
        <f t="shared" si="0"/>
        <v>32</v>
      </c>
      <c r="C73" s="16">
        <v>109.43793386159868</v>
      </c>
      <c r="D73" s="18">
        <f t="shared" si="1"/>
        <v>106.92811190841853</v>
      </c>
      <c r="E73" s="18">
        <f t="shared" si="2"/>
        <v>2.5098219531801504</v>
      </c>
      <c r="F73" s="16">
        <f t="shared" si="3"/>
        <v>6.2992062366650252</v>
      </c>
      <c r="I73" s="16">
        <v>27.7775</v>
      </c>
      <c r="J73" s="16">
        <v>144.50047110103668</v>
      </c>
      <c r="K73" s="18">
        <f t="shared" si="4"/>
        <v>142.14445980148707</v>
      </c>
      <c r="L73" s="18">
        <f t="shared" si="5"/>
        <v>2.356011299549607</v>
      </c>
      <c r="M73" s="16">
        <f t="shared" si="6"/>
        <v>5.5507892436054282</v>
      </c>
    </row>
    <row r="74" spans="2:13">
      <c r="B74" s="16">
        <f t="shared" si="0"/>
        <v>64</v>
      </c>
      <c r="C74" s="16">
        <v>104.92107067628933</v>
      </c>
      <c r="D74" s="18">
        <f t="shared" si="1"/>
        <v>118.0563106121208</v>
      </c>
      <c r="E74" s="18">
        <f t="shared" si="2"/>
        <v>-13.135239935831464</v>
      </c>
      <c r="F74" s="16">
        <f t="shared" si="3"/>
        <v>172.53452817186178</v>
      </c>
      <c r="I74" s="16">
        <v>55.555</v>
      </c>
      <c r="J74" s="16">
        <v>138.09014456824167</v>
      </c>
      <c r="K74" s="18">
        <f t="shared" si="4"/>
        <v>150.86789256101468</v>
      </c>
      <c r="L74" s="18">
        <f t="shared" si="5"/>
        <v>-12.777747992773016</v>
      </c>
      <c r="M74" s="16">
        <f t="shared" si="6"/>
        <v>163.27084376681483</v>
      </c>
    </row>
    <row r="75" spans="2:13">
      <c r="B75" s="16">
        <f t="shared" si="0"/>
        <v>128</v>
      </c>
      <c r="C75" s="16">
        <v>123.16303469819101</v>
      </c>
      <c r="D75" s="18">
        <f t="shared" si="1"/>
        <v>124.48132777609543</v>
      </c>
      <c r="E75" s="18">
        <f t="shared" si="2"/>
        <v>-1.3182930779044142</v>
      </c>
      <c r="F75" s="16">
        <f t="shared" si="3"/>
        <v>1.7378966392506938</v>
      </c>
      <c r="I75" s="16">
        <v>111.11</v>
      </c>
      <c r="J75" s="16">
        <v>159.3732905667693</v>
      </c>
      <c r="K75" s="18">
        <f t="shared" si="4"/>
        <v>155.59005840273375</v>
      </c>
      <c r="L75" s="18">
        <f t="shared" si="5"/>
        <v>3.7832321640355531</v>
      </c>
      <c r="M75" s="16">
        <f t="shared" si="6"/>
        <v>14.312845606993134</v>
      </c>
    </row>
    <row r="76" spans="2:13">
      <c r="B76" s="16">
        <v>256</v>
      </c>
      <c r="C76" s="16">
        <v>140.40256561320666</v>
      </c>
      <c r="D76" s="18">
        <f t="shared" si="1"/>
        <v>127.94609513410079</v>
      </c>
      <c r="E76" s="18">
        <f t="shared" si="2"/>
        <v>12.456470479105874</v>
      </c>
      <c r="F76" s="16">
        <f t="shared" si="3"/>
        <v>155.16365679683614</v>
      </c>
      <c r="I76" s="16">
        <v>222.22</v>
      </c>
      <c r="J76" s="16">
        <v>168.195488851292</v>
      </c>
      <c r="K76" s="18">
        <f t="shared" si="4"/>
        <v>158.04852750666561</v>
      </c>
      <c r="L76" s="18">
        <f t="shared" si="5"/>
        <v>10.146961344626391</v>
      </c>
      <c r="M76" s="16">
        <f t="shared" si="6"/>
        <v>102.9608245293422</v>
      </c>
    </row>
    <row r="77" spans="2:13">
      <c r="D77" s="18"/>
      <c r="E77" s="18"/>
      <c r="K77" s="18"/>
      <c r="L77" s="18"/>
    </row>
    <row r="78" spans="2:13">
      <c r="B78" s="16" t="s">
        <v>82</v>
      </c>
      <c r="C78" s="9" t="s">
        <v>81</v>
      </c>
      <c r="D78" s="9" t="s">
        <v>80</v>
      </c>
      <c r="E78" s="9"/>
      <c r="F78" s="16" t="s">
        <v>79</v>
      </c>
      <c r="I78" s="16" t="s">
        <v>82</v>
      </c>
      <c r="J78" s="9" t="s">
        <v>81</v>
      </c>
      <c r="K78" s="9" t="s">
        <v>80</v>
      </c>
      <c r="L78" s="9"/>
      <c r="M78" s="16" t="s">
        <v>79</v>
      </c>
    </row>
    <row r="79" spans="2:13">
      <c r="B79" s="9">
        <v>7.2884642616943784</v>
      </c>
      <c r="C79" s="9">
        <v>131.59572305222554</v>
      </c>
      <c r="D79" s="9">
        <v>0.5</v>
      </c>
      <c r="E79" s="9"/>
      <c r="F79" s="8">
        <f>SUM(F63:F76)</f>
        <v>1164.4303511664243</v>
      </c>
      <c r="I79" s="9">
        <v>3.5442343279579696</v>
      </c>
      <c r="J79" s="9">
        <v>160.57487218924899</v>
      </c>
      <c r="K79" s="9">
        <v>0.5</v>
      </c>
      <c r="L79" s="9"/>
      <c r="M79" s="8">
        <f>SUM(M62:M77)</f>
        <v>1247.9343493339695</v>
      </c>
    </row>
    <row r="81" spans="1:13">
      <c r="A81" s="17"/>
      <c r="B81" s="16" t="s">
        <v>90</v>
      </c>
      <c r="C81" s="16" t="s">
        <v>89</v>
      </c>
      <c r="D81" s="16" t="s">
        <v>88</v>
      </c>
      <c r="E81" s="16" t="s">
        <v>87</v>
      </c>
      <c r="F81" s="16" t="s">
        <v>86</v>
      </c>
      <c r="H81" s="17"/>
      <c r="I81" s="16" t="s">
        <v>90</v>
      </c>
      <c r="J81" s="16" t="s">
        <v>89</v>
      </c>
      <c r="K81" s="16" t="s">
        <v>88</v>
      </c>
      <c r="L81" s="16" t="s">
        <v>87</v>
      </c>
      <c r="M81" s="16" t="s">
        <v>86</v>
      </c>
    </row>
    <row r="82" spans="1:13">
      <c r="A82" s="16" t="s">
        <v>85</v>
      </c>
      <c r="D82" s="18"/>
      <c r="E82" s="18"/>
      <c r="H82" s="16" t="s">
        <v>85</v>
      </c>
      <c r="K82" s="18"/>
      <c r="L82" s="18"/>
    </row>
    <row r="83" spans="1:13">
      <c r="A83" s="16" t="s">
        <v>84</v>
      </c>
      <c r="B83" s="16">
        <f t="shared" ref="B83:B95" si="7">B84/2</f>
        <v>3.125E-2</v>
      </c>
      <c r="C83" s="16">
        <v>4.1261073285329743</v>
      </c>
      <c r="D83" s="18">
        <f t="shared" ref="D83:D96" si="8" xml:space="preserve"> (B$99+B83+D$99-((B$99+B83+D$99)^2-4*D$99*B83)^0.5)*C$99/(2*D$99)</f>
        <v>0</v>
      </c>
      <c r="E83" s="18">
        <f t="shared" ref="E83:E96" si="9">C83-D83</f>
        <v>4.1261073285329743</v>
      </c>
      <c r="F83" s="16">
        <f t="shared" ref="F83:F96" si="10">E83*E83</f>
        <v>17.02476168657352</v>
      </c>
      <c r="H83" s="16" t="s">
        <v>84</v>
      </c>
      <c r="K83" s="18"/>
      <c r="L83" s="18"/>
    </row>
    <row r="84" spans="1:13">
      <c r="A84" s="16" t="s">
        <v>83</v>
      </c>
      <c r="B84" s="16">
        <f t="shared" si="7"/>
        <v>6.25E-2</v>
      </c>
      <c r="C84" s="16">
        <v>15.927864540585638</v>
      </c>
      <c r="D84" s="18">
        <f t="shared" si="8"/>
        <v>0</v>
      </c>
      <c r="E84" s="18">
        <f t="shared" si="9"/>
        <v>15.927864540585638</v>
      </c>
      <c r="F84" s="16">
        <f t="shared" si="10"/>
        <v>253.69686882324532</v>
      </c>
      <c r="H84" s="16" t="s">
        <v>58</v>
      </c>
      <c r="K84" s="18"/>
      <c r="L84" s="18"/>
    </row>
    <row r="85" spans="1:13">
      <c r="B85" s="16">
        <f t="shared" si="7"/>
        <v>0.125</v>
      </c>
      <c r="C85" s="16">
        <v>3.3595993744487274</v>
      </c>
      <c r="D85" s="18">
        <f t="shared" si="8"/>
        <v>0</v>
      </c>
      <c r="E85" s="18">
        <f t="shared" si="9"/>
        <v>3.3595993744487274</v>
      </c>
      <c r="F85" s="16">
        <f t="shared" si="10"/>
        <v>11.286907956796281</v>
      </c>
      <c r="K85" s="18"/>
      <c r="L85" s="18"/>
    </row>
    <row r="86" spans="1:13">
      <c r="B86" s="16">
        <f t="shared" si="7"/>
        <v>0.25</v>
      </c>
      <c r="C86" s="16">
        <v>8.0761332751605366</v>
      </c>
      <c r="D86" s="18">
        <f t="shared" si="8"/>
        <v>0</v>
      </c>
      <c r="E86" s="18">
        <f t="shared" si="9"/>
        <v>8.0761332751605366</v>
      </c>
      <c r="F86" s="16">
        <f t="shared" si="10"/>
        <v>65.223928678155261</v>
      </c>
      <c r="I86" s="16">
        <v>0.21701171875</v>
      </c>
      <c r="J86" s="16">
        <v>17.768579371473407</v>
      </c>
      <c r="K86" s="18">
        <f t="shared" ref="K86:K96" si="11" xml:space="preserve"> (I$99+I86+K$99-((I$99+I86+K$99)^2-4*K$99*I86)^0.5)*J$99/(2*K$99)</f>
        <v>0.5373425169777134</v>
      </c>
      <c r="L86" s="18">
        <f t="shared" ref="L86:L96" si="12">J86-K86</f>
        <v>17.231236854495695</v>
      </c>
      <c r="M86" s="16">
        <f t="shared" ref="M86:M96" si="13">L86*L86</f>
        <v>296.9155235357307</v>
      </c>
    </row>
    <row r="87" spans="1:13">
      <c r="B87" s="16">
        <f t="shared" si="7"/>
        <v>0.5</v>
      </c>
      <c r="C87" s="16">
        <v>7.2170388267375642</v>
      </c>
      <c r="D87" s="18">
        <f t="shared" si="8"/>
        <v>0</v>
      </c>
      <c r="E87" s="18">
        <f t="shared" si="9"/>
        <v>7.2170388267375642</v>
      </c>
      <c r="F87" s="16">
        <f t="shared" si="10"/>
        <v>52.085649426637517</v>
      </c>
      <c r="I87" s="16">
        <v>0.4340234375</v>
      </c>
      <c r="J87" s="16">
        <v>15.843385938367859</v>
      </c>
      <c r="K87" s="18">
        <f t="shared" si="11"/>
        <v>1.0719117811117211</v>
      </c>
      <c r="L87" s="18">
        <f t="shared" si="12"/>
        <v>14.771474157256138</v>
      </c>
      <c r="M87" s="16">
        <f t="shared" si="13"/>
        <v>218.19644877848594</v>
      </c>
    </row>
    <row r="88" spans="1:13">
      <c r="B88" s="16">
        <f t="shared" si="7"/>
        <v>1</v>
      </c>
      <c r="C88" s="16">
        <v>-4.0300000000000011</v>
      </c>
      <c r="D88" s="18">
        <f t="shared" si="8"/>
        <v>0</v>
      </c>
      <c r="E88" s="18">
        <f t="shared" si="9"/>
        <v>-4.0300000000000011</v>
      </c>
      <c r="F88" s="16">
        <f t="shared" si="10"/>
        <v>16.240900000000011</v>
      </c>
      <c r="I88" s="16">
        <v>0.868046875</v>
      </c>
      <c r="J88" s="16">
        <v>12.538632385967226</v>
      </c>
      <c r="K88" s="18">
        <f t="shared" si="11"/>
        <v>2.1328154811045614</v>
      </c>
      <c r="L88" s="18">
        <f t="shared" si="12"/>
        <v>10.405816904862665</v>
      </c>
      <c r="M88" s="16">
        <f t="shared" si="13"/>
        <v>108.2810254575256</v>
      </c>
    </row>
    <row r="89" spans="1:13">
      <c r="B89" s="16">
        <f t="shared" si="7"/>
        <v>2</v>
      </c>
      <c r="C89" s="16">
        <v>1.7355499553458245</v>
      </c>
      <c r="D89" s="18">
        <f t="shared" si="8"/>
        <v>0</v>
      </c>
      <c r="E89" s="18">
        <f t="shared" si="9"/>
        <v>1.7355499553458245</v>
      </c>
      <c r="F89" s="16">
        <f t="shared" si="10"/>
        <v>3.0121336475008933</v>
      </c>
      <c r="I89" s="16">
        <v>1.73609375</v>
      </c>
      <c r="J89" s="16">
        <v>9.2509601402587691</v>
      </c>
      <c r="K89" s="18">
        <f t="shared" si="11"/>
        <v>4.2222661351234816</v>
      </c>
      <c r="L89" s="18">
        <f t="shared" si="12"/>
        <v>5.0286940051352875</v>
      </c>
      <c r="M89" s="16">
        <f t="shared" si="13"/>
        <v>25.28776339728358</v>
      </c>
    </row>
    <row r="90" spans="1:13">
      <c r="B90" s="16">
        <f t="shared" si="7"/>
        <v>4</v>
      </c>
      <c r="C90" s="16">
        <v>-4.4541676563061685</v>
      </c>
      <c r="D90" s="18">
        <f t="shared" si="8"/>
        <v>0</v>
      </c>
      <c r="E90" s="18">
        <f t="shared" si="9"/>
        <v>-4.4541676563061685</v>
      </c>
      <c r="F90" s="16">
        <f t="shared" si="10"/>
        <v>19.839609510483985</v>
      </c>
      <c r="I90" s="16">
        <v>3.4721875</v>
      </c>
      <c r="J90" s="16">
        <v>8.2036509780175919</v>
      </c>
      <c r="K90" s="18">
        <f t="shared" si="11"/>
        <v>8.2762288446757264</v>
      </c>
      <c r="L90" s="18">
        <f t="shared" si="12"/>
        <v>-7.2577866658134482E-2</v>
      </c>
      <c r="M90" s="16">
        <f t="shared" si="13"/>
        <v>5.2675467286459488E-3</v>
      </c>
    </row>
    <row r="91" spans="1:13">
      <c r="B91" s="16">
        <f t="shared" si="7"/>
        <v>8</v>
      </c>
      <c r="C91" s="16">
        <v>1.6408374137098392</v>
      </c>
      <c r="D91" s="18">
        <f t="shared" si="8"/>
        <v>0</v>
      </c>
      <c r="E91" s="18">
        <f t="shared" si="9"/>
        <v>1.6408374137098392</v>
      </c>
      <c r="F91" s="16">
        <f t="shared" si="10"/>
        <v>2.692347418229994</v>
      </c>
      <c r="I91" s="16">
        <v>6.944375</v>
      </c>
      <c r="J91" s="16">
        <v>17.66086910588016</v>
      </c>
      <c r="K91" s="18">
        <f t="shared" si="11"/>
        <v>15.917753746897166</v>
      </c>
      <c r="L91" s="18">
        <f t="shared" si="12"/>
        <v>1.743115358982994</v>
      </c>
      <c r="M91" s="16">
        <f t="shared" si="13"/>
        <v>3.038451154722412</v>
      </c>
    </row>
    <row r="92" spans="1:13">
      <c r="B92" s="16">
        <f t="shared" si="7"/>
        <v>16</v>
      </c>
      <c r="C92" s="16">
        <v>-0.6397422898064633</v>
      </c>
      <c r="D92" s="18">
        <f t="shared" si="8"/>
        <v>0</v>
      </c>
      <c r="E92" s="18">
        <f t="shared" si="9"/>
        <v>-0.6397422898064633</v>
      </c>
      <c r="F92" s="16">
        <f t="shared" si="10"/>
        <v>0.40927019736681686</v>
      </c>
      <c r="I92" s="16">
        <v>13.88875</v>
      </c>
      <c r="J92" s="16">
        <v>21.887498133709492</v>
      </c>
      <c r="K92" s="18">
        <f t="shared" si="11"/>
        <v>29.56673559530665</v>
      </c>
      <c r="L92" s="18">
        <f t="shared" si="12"/>
        <v>-7.6792374615971575</v>
      </c>
      <c r="M92" s="16">
        <f t="shared" si="13"/>
        <v>58.970687991597153</v>
      </c>
    </row>
    <row r="93" spans="1:13">
      <c r="B93" s="16">
        <f t="shared" si="7"/>
        <v>32</v>
      </c>
      <c r="C93" s="16">
        <v>-0.26766664364163262</v>
      </c>
      <c r="D93" s="18">
        <f t="shared" si="8"/>
        <v>0</v>
      </c>
      <c r="E93" s="18">
        <f t="shared" si="9"/>
        <v>-0.26766664364163262</v>
      </c>
      <c r="F93" s="16">
        <f t="shared" si="10"/>
        <v>7.1645432118376748E-2</v>
      </c>
      <c r="I93" s="16">
        <v>27.7775</v>
      </c>
      <c r="J93" s="16">
        <v>54.721698236024459</v>
      </c>
      <c r="K93" s="18">
        <f t="shared" si="11"/>
        <v>51.750776933677265</v>
      </c>
      <c r="L93" s="18">
        <f t="shared" si="12"/>
        <v>2.9709213023471932</v>
      </c>
      <c r="M93" s="16">
        <f t="shared" si="13"/>
        <v>8.8263733847403429</v>
      </c>
    </row>
    <row r="94" spans="1:13">
      <c r="B94" s="16">
        <f t="shared" si="7"/>
        <v>64</v>
      </c>
      <c r="C94" s="16">
        <v>-5.2999999999999972</v>
      </c>
      <c r="D94" s="18">
        <f t="shared" si="8"/>
        <v>0</v>
      </c>
      <c r="E94" s="18">
        <f t="shared" si="9"/>
        <v>-5.2999999999999972</v>
      </c>
      <c r="F94" s="16">
        <f t="shared" si="10"/>
        <v>28.089999999999971</v>
      </c>
      <c r="I94" s="16">
        <v>55.555</v>
      </c>
      <c r="J94" s="16">
        <v>84.507007334108323</v>
      </c>
      <c r="K94" s="18">
        <f t="shared" si="11"/>
        <v>82.802104832214582</v>
      </c>
      <c r="L94" s="18">
        <f t="shared" si="12"/>
        <v>1.7049025018937414</v>
      </c>
      <c r="M94" s="16">
        <f t="shared" si="13"/>
        <v>2.9066925409635389</v>
      </c>
    </row>
    <row r="95" spans="1:13">
      <c r="B95" s="16">
        <f t="shared" si="7"/>
        <v>128</v>
      </c>
      <c r="C95" s="16">
        <v>2.0968244375175971</v>
      </c>
      <c r="D95" s="18">
        <f t="shared" si="8"/>
        <v>0</v>
      </c>
      <c r="E95" s="18">
        <f t="shared" si="9"/>
        <v>2.0968244375175971</v>
      </c>
      <c r="F95" s="16">
        <f t="shared" si="10"/>
        <v>4.3966727217709876</v>
      </c>
      <c r="I95" s="16">
        <v>111.11</v>
      </c>
      <c r="J95" s="16">
        <v>115.34509677788</v>
      </c>
      <c r="K95" s="18">
        <f t="shared" si="11"/>
        <v>118.25076520986647</v>
      </c>
      <c r="L95" s="18">
        <f t="shared" si="12"/>
        <v>-2.9056684319864701</v>
      </c>
      <c r="M95" s="16">
        <f t="shared" si="13"/>
        <v>8.4429090366427122</v>
      </c>
    </row>
    <row r="96" spans="1:13">
      <c r="B96" s="16">
        <v>256</v>
      </c>
      <c r="C96" s="16">
        <v>-4.3500000000000014</v>
      </c>
      <c r="D96" s="18">
        <f t="shared" si="8"/>
        <v>0</v>
      </c>
      <c r="E96" s="18">
        <f t="shared" si="9"/>
        <v>-4.3500000000000014</v>
      </c>
      <c r="F96" s="16">
        <f t="shared" si="10"/>
        <v>18.922500000000014</v>
      </c>
      <c r="I96" s="16">
        <v>222.22</v>
      </c>
      <c r="J96" s="16">
        <v>151.60800369133267</v>
      </c>
      <c r="K96" s="18">
        <f t="shared" si="11"/>
        <v>150.4108079772609</v>
      </c>
      <c r="L96" s="18">
        <f t="shared" si="12"/>
        <v>1.1971957140717677</v>
      </c>
      <c r="M96" s="16">
        <f t="shared" si="13"/>
        <v>1.4332775777918099</v>
      </c>
    </row>
    <row r="97" spans="1:13">
      <c r="D97" s="18"/>
      <c r="E97" s="18"/>
      <c r="K97" s="18"/>
      <c r="L97" s="18"/>
    </row>
    <row r="98" spans="1:13">
      <c r="B98" s="16" t="s">
        <v>82</v>
      </c>
      <c r="C98" s="9" t="s">
        <v>81</v>
      </c>
      <c r="D98" s="9" t="s">
        <v>80</v>
      </c>
      <c r="E98" s="9"/>
      <c r="F98" s="16" t="s">
        <v>79</v>
      </c>
      <c r="I98" s="16" t="s">
        <v>82</v>
      </c>
      <c r="J98" s="9" t="s">
        <v>81</v>
      </c>
      <c r="K98" s="9" t="s">
        <v>80</v>
      </c>
      <c r="L98" s="9"/>
      <c r="M98" s="16" t="s">
        <v>79</v>
      </c>
    </row>
    <row r="99" spans="1:13">
      <c r="B99" s="9">
        <v>14.847850414723807</v>
      </c>
      <c r="C99" s="9">
        <v>0</v>
      </c>
      <c r="D99" s="9">
        <v>0.5</v>
      </c>
      <c r="E99" s="9"/>
      <c r="F99" s="8">
        <f>SUM(F82:F97)</f>
        <v>492.99319549887889</v>
      </c>
      <c r="I99" s="9">
        <v>82.662792089969486</v>
      </c>
      <c r="J99" s="9">
        <v>206.4534331283586</v>
      </c>
      <c r="K99" s="9">
        <v>0.5</v>
      </c>
      <c r="L99" s="9"/>
      <c r="M99" s="8">
        <f>SUM(M82:M97)</f>
        <v>732.3044204022126</v>
      </c>
    </row>
    <row r="103" spans="1:13">
      <c r="A103" s="16" t="s">
        <v>58</v>
      </c>
      <c r="C103" s="16" t="s">
        <v>77</v>
      </c>
      <c r="D103" s="16" t="s">
        <v>76</v>
      </c>
      <c r="E103" s="16" t="s">
        <v>75</v>
      </c>
      <c r="F103" s="16" t="s">
        <v>74</v>
      </c>
    </row>
    <row r="104" spans="1:13">
      <c r="B104" s="16">
        <v>0.21701171875</v>
      </c>
      <c r="C104" s="16">
        <v>6.9414197604246652</v>
      </c>
      <c r="D104" s="16">
        <v>8.2270265024451525</v>
      </c>
      <c r="E104" s="16">
        <v>17.768579371473407</v>
      </c>
      <c r="F104" s="16">
        <v>0.5373425169777134</v>
      </c>
    </row>
    <row r="105" spans="1:13">
      <c r="B105" s="16">
        <v>0.4340234375</v>
      </c>
      <c r="C105" s="16">
        <v>27.487096651708967</v>
      </c>
      <c r="D105" s="16">
        <v>15.734730960126223</v>
      </c>
      <c r="E105" s="16">
        <v>15.843385938367859</v>
      </c>
      <c r="F105" s="16">
        <v>1.0719117811117211</v>
      </c>
    </row>
    <row r="106" spans="1:13">
      <c r="B106" s="16">
        <v>0.868046875</v>
      </c>
      <c r="C106" s="16">
        <v>35.10199818938132</v>
      </c>
      <c r="D106" s="16">
        <v>28.904707310535567</v>
      </c>
      <c r="E106" s="16">
        <v>12.538632385967226</v>
      </c>
      <c r="F106" s="16">
        <v>2.1328154811045614</v>
      </c>
    </row>
    <row r="107" spans="1:13">
      <c r="B107" s="16">
        <v>1.73609375</v>
      </c>
      <c r="C107" s="16">
        <v>38.812861438287982</v>
      </c>
      <c r="D107" s="16">
        <v>49.55051451761377</v>
      </c>
      <c r="E107" s="16">
        <v>9.2509601402587691</v>
      </c>
      <c r="F107" s="16">
        <v>4.2222661351234816</v>
      </c>
    </row>
    <row r="108" spans="1:13">
      <c r="B108" s="16">
        <v>3.4721875</v>
      </c>
      <c r="C108" s="16">
        <v>95.837159526350987</v>
      </c>
      <c r="D108" s="16">
        <v>76.608329175701357</v>
      </c>
      <c r="E108" s="16">
        <v>8.2036509780175919</v>
      </c>
      <c r="F108" s="16">
        <v>8.2762288446757264</v>
      </c>
    </row>
    <row r="109" spans="1:13">
      <c r="B109" s="16">
        <v>6.944375</v>
      </c>
      <c r="C109" s="16">
        <v>87.309415141056988</v>
      </c>
      <c r="D109" s="16">
        <v>104.57603914969323</v>
      </c>
      <c r="E109" s="16">
        <v>17.66086910588016</v>
      </c>
      <c r="F109" s="16">
        <v>15.917753746897166</v>
      </c>
    </row>
    <row r="110" spans="1:13">
      <c r="B110" s="16">
        <v>13.88875</v>
      </c>
      <c r="C110" s="16">
        <v>126.47716468009865</v>
      </c>
      <c r="D110" s="16">
        <v>127.17022524364056</v>
      </c>
      <c r="E110" s="16">
        <v>21.887498133709492</v>
      </c>
      <c r="F110" s="16">
        <v>29.56673559530665</v>
      </c>
    </row>
    <row r="111" spans="1:13">
      <c r="B111" s="16">
        <v>27.7775</v>
      </c>
      <c r="C111" s="16">
        <v>144.50047110103668</v>
      </c>
      <c r="D111" s="16">
        <v>142.14445980148707</v>
      </c>
      <c r="E111" s="16">
        <v>54.721698236024459</v>
      </c>
      <c r="F111" s="16">
        <v>51.750776933677265</v>
      </c>
    </row>
    <row r="112" spans="1:13">
      <c r="B112" s="16">
        <v>55.555</v>
      </c>
      <c r="C112" s="16">
        <v>138.09014456824167</v>
      </c>
      <c r="D112" s="16">
        <v>150.86789256101468</v>
      </c>
      <c r="E112" s="16">
        <v>84.507007334108323</v>
      </c>
      <c r="F112" s="16">
        <v>82.802104832214582</v>
      </c>
    </row>
    <row r="113" spans="1:6">
      <c r="B113" s="16">
        <v>111.11</v>
      </c>
      <c r="C113" s="16">
        <v>159.3732905667693</v>
      </c>
      <c r="D113" s="16">
        <v>155.59005840273375</v>
      </c>
      <c r="E113" s="16">
        <v>115.34509677788</v>
      </c>
      <c r="F113" s="16">
        <v>118.25076520986647</v>
      </c>
    </row>
    <row r="114" spans="1:6">
      <c r="B114" s="16">
        <v>222.22</v>
      </c>
      <c r="C114" s="16">
        <v>168.195488851292</v>
      </c>
      <c r="D114" s="16">
        <v>158.04852750666561</v>
      </c>
      <c r="E114" s="16">
        <v>151.60800369133267</v>
      </c>
      <c r="F114" s="16">
        <v>150.4108079772609</v>
      </c>
    </row>
    <row r="121" spans="1:6">
      <c r="A121" s="16" t="s">
        <v>78</v>
      </c>
      <c r="C121" s="16" t="s">
        <v>77</v>
      </c>
      <c r="D121" s="16" t="s">
        <v>76</v>
      </c>
      <c r="E121" s="16" t="s">
        <v>75</v>
      </c>
      <c r="F121" s="16" t="s">
        <v>74</v>
      </c>
    </row>
    <row r="122" spans="1:6">
      <c r="B122" s="16">
        <v>3.125E-2</v>
      </c>
      <c r="C122" s="16">
        <v>8.3389786179579914</v>
      </c>
      <c r="D122" s="16">
        <v>0.52603171538852034</v>
      </c>
      <c r="E122" s="16">
        <v>4.1261073285329743</v>
      </c>
      <c r="F122" s="18">
        <f t="shared" ref="F122:F135" si="14" xml:space="preserve"> (D$99+D122+F$99-((D$99+D122+F$99)^2-4*F$99*D122)^0.5)*E$99/(2*F$99)</f>
        <v>0</v>
      </c>
    </row>
    <row r="123" spans="1:6">
      <c r="B123" s="16">
        <v>6.25E-2</v>
      </c>
      <c r="C123" s="16">
        <v>0.61228690438467481</v>
      </c>
      <c r="D123" s="16">
        <v>1.0481396363223021</v>
      </c>
      <c r="E123" s="16">
        <v>15.927864540585638</v>
      </c>
      <c r="F123" s="18">
        <f t="shared" si="14"/>
        <v>0</v>
      </c>
    </row>
    <row r="124" spans="1:6">
      <c r="B124" s="16">
        <v>0.125</v>
      </c>
      <c r="C124" s="16">
        <v>4.2878184609470082</v>
      </c>
      <c r="D124" s="16">
        <v>2.0807467964959989</v>
      </c>
      <c r="E124" s="16">
        <v>3.3595993744487274</v>
      </c>
      <c r="F124" s="18">
        <f t="shared" si="14"/>
        <v>0</v>
      </c>
    </row>
    <row r="125" spans="1:6">
      <c r="B125" s="16">
        <v>0.25</v>
      </c>
      <c r="C125" s="16">
        <v>7.80951607789234</v>
      </c>
      <c r="D125" s="16">
        <v>4.1006365620506093</v>
      </c>
      <c r="E125" s="16">
        <v>8.0761332751605366</v>
      </c>
      <c r="F125" s="18">
        <f t="shared" si="14"/>
        <v>0</v>
      </c>
    </row>
    <row r="126" spans="1:6">
      <c r="B126" s="16">
        <v>0.5</v>
      </c>
      <c r="C126" s="16">
        <v>7.4835127380607247</v>
      </c>
      <c r="D126" s="16">
        <v>7.9675874806072526</v>
      </c>
      <c r="E126" s="16">
        <v>7.2170388267375642</v>
      </c>
      <c r="F126" s="18">
        <f t="shared" si="14"/>
        <v>0</v>
      </c>
    </row>
    <row r="127" spans="1:6">
      <c r="B127" s="16">
        <v>1</v>
      </c>
      <c r="C127" s="16">
        <v>39.293942621318337</v>
      </c>
      <c r="D127" s="16">
        <v>15.071897088865702</v>
      </c>
      <c r="E127" s="16">
        <v>-4.0300000000000011</v>
      </c>
      <c r="F127" s="18">
        <f t="shared" si="14"/>
        <v>0</v>
      </c>
    </row>
    <row r="128" spans="1:6">
      <c r="B128" s="16">
        <v>2</v>
      </c>
      <c r="C128" s="16">
        <v>28.421781271500322</v>
      </c>
      <c r="D128" s="16">
        <v>27.174561512897238</v>
      </c>
      <c r="E128" s="16">
        <v>1.7355499553458245</v>
      </c>
      <c r="F128" s="18">
        <f t="shared" si="14"/>
        <v>0</v>
      </c>
    </row>
    <row r="129" spans="2:6">
      <c r="B129" s="16">
        <v>4</v>
      </c>
      <c r="C129" s="16">
        <v>34.753080890535017</v>
      </c>
      <c r="D129" s="16">
        <v>45.314191419797964</v>
      </c>
      <c r="E129" s="16">
        <v>-4.4541676563061685</v>
      </c>
      <c r="F129" s="18">
        <f t="shared" si="14"/>
        <v>0</v>
      </c>
    </row>
    <row r="130" spans="2:6">
      <c r="B130" s="16">
        <v>8</v>
      </c>
      <c r="C130" s="16">
        <v>72.858775126171025</v>
      </c>
      <c r="D130" s="16">
        <v>67.785181510636207</v>
      </c>
      <c r="E130" s="16">
        <v>1.6408374137098392</v>
      </c>
      <c r="F130" s="18">
        <f t="shared" si="14"/>
        <v>0</v>
      </c>
    </row>
    <row r="131" spans="2:6">
      <c r="B131" s="16">
        <v>16</v>
      </c>
      <c r="C131" s="16">
        <v>84.996462635665353</v>
      </c>
      <c r="D131" s="16">
        <v>89.798568504418768</v>
      </c>
      <c r="E131" s="16">
        <v>-0.6397422898064633</v>
      </c>
      <c r="F131" s="18">
        <f t="shared" si="14"/>
        <v>0</v>
      </c>
    </row>
    <row r="132" spans="2:6">
      <c r="B132" s="16">
        <v>32</v>
      </c>
      <c r="C132" s="16">
        <v>109.43793386159868</v>
      </c>
      <c r="D132" s="16">
        <v>106.92811190841853</v>
      </c>
      <c r="E132" s="16">
        <v>-0.26766664364163262</v>
      </c>
      <c r="F132" s="18">
        <f t="shared" si="14"/>
        <v>0</v>
      </c>
    </row>
    <row r="133" spans="2:6">
      <c r="B133" s="16">
        <v>64</v>
      </c>
      <c r="C133" s="16">
        <v>104.92107067628933</v>
      </c>
      <c r="D133" s="16">
        <v>118.0563106121208</v>
      </c>
      <c r="E133" s="16">
        <v>-5.2999999999999972</v>
      </c>
      <c r="F133" s="18">
        <f t="shared" si="14"/>
        <v>0</v>
      </c>
    </row>
    <row r="134" spans="2:6">
      <c r="B134" s="16">
        <v>128</v>
      </c>
      <c r="C134" s="16">
        <v>123.16303469819101</v>
      </c>
      <c r="D134" s="16">
        <v>124.48132777609543</v>
      </c>
      <c r="E134" s="16">
        <v>2.0968244375175971</v>
      </c>
      <c r="F134" s="18">
        <f t="shared" si="14"/>
        <v>0</v>
      </c>
    </row>
    <row r="135" spans="2:6">
      <c r="B135" s="16">
        <v>256</v>
      </c>
      <c r="C135" s="16">
        <v>140.40256561320666</v>
      </c>
      <c r="D135" s="16">
        <v>127.94609513410079</v>
      </c>
      <c r="E135" s="16">
        <v>-4.3500000000000014</v>
      </c>
      <c r="F135" s="18">
        <f t="shared" si="14"/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FCC8-3F52-BB4E-807A-05FA922D2C7E}">
  <dimension ref="A2:AA80"/>
  <sheetViews>
    <sheetView topLeftCell="P1" workbookViewId="0">
      <selection activeCell="G48" sqref="G48"/>
    </sheetView>
  </sheetViews>
  <sheetFormatPr baseColWidth="10" defaultRowHeight="15"/>
  <cols>
    <col min="1" max="13" width="10.83203125" style="10"/>
    <col min="14" max="14" width="3" style="10" customWidth="1"/>
    <col min="15" max="20" width="10.83203125" style="10"/>
    <col min="21" max="21" width="3" style="10" customWidth="1"/>
    <col min="22" max="27" width="10.83203125" style="10"/>
    <col min="28" max="28" width="3" style="10" customWidth="1"/>
    <col min="29" max="29" width="7.1640625" style="10" customWidth="1"/>
    <col min="30" max="30" width="7" style="10" customWidth="1"/>
    <col min="31" max="32" width="6.33203125" style="10" customWidth="1"/>
    <col min="33" max="33" width="7.33203125" style="10" customWidth="1"/>
    <col min="34" max="34" width="7" style="10" customWidth="1"/>
    <col min="35" max="35" width="7.1640625" style="10" customWidth="1"/>
    <col min="36" max="16384" width="10.83203125" style="10"/>
  </cols>
  <sheetData>
    <row r="2" spans="1:27">
      <c r="A2" s="14"/>
      <c r="B2" s="10" t="s">
        <v>90</v>
      </c>
      <c r="C2" s="10" t="s">
        <v>89</v>
      </c>
      <c r="D2" s="11" t="s">
        <v>88</v>
      </c>
      <c r="E2" s="10" t="s">
        <v>87</v>
      </c>
      <c r="F2" s="10" t="s">
        <v>86</v>
      </c>
      <c r="H2" s="14"/>
      <c r="I2" s="10" t="s">
        <v>90</v>
      </c>
      <c r="J2" s="10" t="s">
        <v>89</v>
      </c>
      <c r="K2" s="10" t="s">
        <v>88</v>
      </c>
      <c r="L2" s="10" t="s">
        <v>87</v>
      </c>
      <c r="M2" s="10" t="s">
        <v>86</v>
      </c>
      <c r="O2" s="14"/>
      <c r="P2" s="10" t="s">
        <v>90</v>
      </c>
      <c r="Q2" s="10" t="s">
        <v>89</v>
      </c>
      <c r="R2" s="10" t="s">
        <v>88</v>
      </c>
      <c r="S2" s="10" t="s">
        <v>87</v>
      </c>
      <c r="T2" s="10" t="s">
        <v>86</v>
      </c>
      <c r="V2" s="14"/>
      <c r="W2" s="10" t="s">
        <v>90</v>
      </c>
      <c r="X2" s="10" t="s">
        <v>89</v>
      </c>
      <c r="Y2" s="10" t="s">
        <v>88</v>
      </c>
      <c r="Z2" s="10" t="s">
        <v>87</v>
      </c>
      <c r="AA2" s="10" t="s">
        <v>86</v>
      </c>
    </row>
    <row r="3" spans="1:27">
      <c r="A3" s="10" t="s">
        <v>97</v>
      </c>
      <c r="B3" s="10">
        <v>1.220703125E-2</v>
      </c>
      <c r="C3" s="10">
        <v>1.1666666666666714</v>
      </c>
      <c r="D3" s="10">
        <f t="shared" ref="D3:D18" si="0" xml:space="preserve"> (B$20+B3+D$20-((B$20+B3+D$20)^2-4*D$20*B3)^0.5)*C$20/(2*D$20)</f>
        <v>0.24018997593272254</v>
      </c>
      <c r="E3" s="10">
        <f t="shared" ref="E3:E18" si="1">C3-D3</f>
        <v>0.92647669073394889</v>
      </c>
      <c r="F3" s="10">
        <f t="shared" ref="F3:F18" si="2">E3*E3</f>
        <v>0.85835905847332916</v>
      </c>
      <c r="H3" s="10" t="s">
        <v>96</v>
      </c>
      <c r="I3" s="10">
        <v>1.220703125E-2</v>
      </c>
      <c r="J3" s="10">
        <v>9.3332999999999942</v>
      </c>
      <c r="K3" s="10">
        <f t="shared" ref="K3:K18" si="3" xml:space="preserve"> (I$20+I3+K$20-((I$20+I3+K$20)^2-4*K$20*I3)^0.5)*J$20/(2*K$20)</f>
        <v>0.2694210112768381</v>
      </c>
      <c r="L3" s="10">
        <f t="shared" ref="L3:L18" si="4">J3-K3</f>
        <v>9.0638789887231557</v>
      </c>
      <c r="M3" s="10">
        <f t="shared" ref="M3:M18" si="5">L3*L3</f>
        <v>82.153902322217093</v>
      </c>
      <c r="O3" s="10" t="s">
        <v>95</v>
      </c>
      <c r="P3" s="10">
        <v>1.220703125E-2</v>
      </c>
      <c r="Q3" s="10">
        <v>3.9999666666666656</v>
      </c>
      <c r="R3" s="10">
        <f t="shared" ref="R3:R18" si="6" xml:space="preserve"> (P$20+P3+R$20-((P$20+P3+R$20)^2-4*R$20*P3)^0.5)*Q$20/(2*R$20)</f>
        <v>9.7234335634995728E-2</v>
      </c>
      <c r="S3" s="10">
        <f t="shared" ref="S3:S18" si="7">Q3-R3</f>
        <v>3.9027323310316699</v>
      </c>
      <c r="T3" s="10">
        <f t="shared" ref="T3:T18" si="8">S3*S3</f>
        <v>15.231319647679893</v>
      </c>
      <c r="V3" s="10" t="s">
        <v>94</v>
      </c>
      <c r="W3" s="10">
        <v>1.220703125E-2</v>
      </c>
      <c r="X3" s="10">
        <v>0.66670000000000584</v>
      </c>
      <c r="Y3" s="10">
        <f t="shared" ref="Y3:Y18" si="9" xml:space="preserve"> (W$20+W3+Y$20-((W$20+W3+Y$20)^2-4*Y$20*W3)^0.5)*X$20/(2*Y$20)</f>
        <v>6.301001425865381E-2</v>
      </c>
      <c r="Z3" s="10">
        <f t="shared" ref="Z3:Z18" si="10">X3-Y3</f>
        <v>0.60368998574135202</v>
      </c>
      <c r="AA3" s="10">
        <f t="shared" ref="AA3:AA18" si="11">Z3*Z3</f>
        <v>0.36444159888439381</v>
      </c>
    </row>
    <row r="4" spans="1:27">
      <c r="A4" s="10" t="s">
        <v>101</v>
      </c>
      <c r="B4" s="10">
        <v>2.44140625E-2</v>
      </c>
      <c r="C4" s="10">
        <v>-8</v>
      </c>
      <c r="D4" s="10">
        <f t="shared" si="0"/>
        <v>0.47990421807010025</v>
      </c>
      <c r="E4" s="10">
        <f t="shared" si="1"/>
        <v>-8.4799042180701001</v>
      </c>
      <c r="F4" s="10">
        <f t="shared" si="2"/>
        <v>71.908775547643074</v>
      </c>
      <c r="H4" s="10" t="s">
        <v>101</v>
      </c>
      <c r="I4" s="10">
        <v>2.44140625E-2</v>
      </c>
      <c r="J4" s="10">
        <v>-1.3333666666666772</v>
      </c>
      <c r="K4" s="10">
        <f t="shared" si="3"/>
        <v>0.53824894512947519</v>
      </c>
      <c r="L4" s="10">
        <f t="shared" si="4"/>
        <v>-1.8716156117961524</v>
      </c>
      <c r="M4" s="10">
        <f t="shared" si="5"/>
        <v>3.5029449983190859</v>
      </c>
      <c r="O4" s="10" t="s">
        <v>101</v>
      </c>
      <c r="P4" s="10">
        <v>2.44140625E-2</v>
      </c>
      <c r="Q4" s="10">
        <v>3.3332999999999942</v>
      </c>
      <c r="R4" s="10">
        <f t="shared" si="6"/>
        <v>0.19438564919110912</v>
      </c>
      <c r="S4" s="10">
        <f t="shared" si="7"/>
        <v>3.1389143508088848</v>
      </c>
      <c r="T4" s="10">
        <f t="shared" si="8"/>
        <v>9.8527833017139628</v>
      </c>
      <c r="V4" s="10" t="s">
        <v>101</v>
      </c>
      <c r="W4" s="10">
        <v>2.44140625E-2</v>
      </c>
      <c r="X4" s="10">
        <v>-3.3332999999999942</v>
      </c>
      <c r="Y4" s="10">
        <f t="shared" si="9"/>
        <v>0.12598462049914902</v>
      </c>
      <c r="Z4" s="10">
        <f t="shared" si="10"/>
        <v>-3.459284620499143</v>
      </c>
      <c r="AA4" s="10">
        <f t="shared" si="11"/>
        <v>11.9666500856219</v>
      </c>
    </row>
    <row r="5" spans="1:27">
      <c r="B5" s="10">
        <v>4.8828125E-2</v>
      </c>
      <c r="C5" s="10">
        <v>5.5</v>
      </c>
      <c r="D5" s="10">
        <f t="shared" si="0"/>
        <v>0.95791089525837936</v>
      </c>
      <c r="E5" s="10">
        <f t="shared" si="1"/>
        <v>4.5420891047416205</v>
      </c>
      <c r="F5" s="10">
        <f t="shared" si="2"/>
        <v>20.630573435412536</v>
      </c>
      <c r="I5" s="10">
        <v>4.8828125E-2</v>
      </c>
      <c r="J5" s="10">
        <v>7.6666333333333228</v>
      </c>
      <c r="K5" s="10">
        <f t="shared" si="3"/>
        <v>1.0741325317154704</v>
      </c>
      <c r="L5" s="10">
        <f t="shared" si="4"/>
        <v>6.5925008016178523</v>
      </c>
      <c r="M5" s="10">
        <f t="shared" si="5"/>
        <v>43.461066819332025</v>
      </c>
      <c r="P5" s="10">
        <v>4.8828125E-2</v>
      </c>
      <c r="Q5" s="10">
        <v>3.3332999999999942</v>
      </c>
      <c r="R5" s="10">
        <f t="shared" si="6"/>
        <v>0.3884395777096083</v>
      </c>
      <c r="S5" s="10">
        <f t="shared" si="7"/>
        <v>2.944860422290386</v>
      </c>
      <c r="T5" s="10">
        <f t="shared" si="8"/>
        <v>8.672202906772311</v>
      </c>
      <c r="V5" s="10" t="s">
        <v>93</v>
      </c>
      <c r="W5" s="10">
        <v>4.8828125E-2</v>
      </c>
      <c r="X5" s="10">
        <v>4.3333666666666772</v>
      </c>
      <c r="Y5" s="10">
        <f t="shared" si="9"/>
        <v>0.25182767887197921</v>
      </c>
      <c r="Z5" s="10">
        <f t="shared" si="10"/>
        <v>4.0815389877946977</v>
      </c>
      <c r="AA5" s="10">
        <f t="shared" si="11"/>
        <v>16.658960508888164</v>
      </c>
    </row>
    <row r="6" spans="1:27">
      <c r="B6" s="10">
        <v>9.765625E-2</v>
      </c>
      <c r="C6" s="10">
        <v>0.8333333333333286</v>
      </c>
      <c r="D6" s="10">
        <f t="shared" si="0"/>
        <v>1.908274510606393</v>
      </c>
      <c r="E6" s="10">
        <f t="shared" si="1"/>
        <v>-1.0749411772730644</v>
      </c>
      <c r="F6" s="10">
        <f t="shared" si="2"/>
        <v>1.1554985345972015</v>
      </c>
      <c r="I6" s="10">
        <v>9.765625E-2</v>
      </c>
      <c r="J6" s="10">
        <v>18.333299999999994</v>
      </c>
      <c r="K6" s="10">
        <f t="shared" si="3"/>
        <v>2.1388589123968753</v>
      </c>
      <c r="L6" s="10">
        <f t="shared" si="4"/>
        <v>16.194441087603117</v>
      </c>
      <c r="M6" s="10">
        <f t="shared" si="5"/>
        <v>262.25992213984802</v>
      </c>
      <c r="P6" s="10">
        <v>9.765625E-2</v>
      </c>
      <c r="Q6" s="10">
        <v>5.9999666666666656</v>
      </c>
      <c r="R6" s="10">
        <f t="shared" si="6"/>
        <v>0.77555520764936492</v>
      </c>
      <c r="S6" s="10">
        <f t="shared" si="7"/>
        <v>5.2244114590173005</v>
      </c>
      <c r="T6" s="10">
        <f t="shared" si="8"/>
        <v>27.294475093111277</v>
      </c>
      <c r="W6" s="10">
        <v>9.765625E-2</v>
      </c>
      <c r="X6" s="10">
        <v>5.3333666666666772</v>
      </c>
      <c r="Y6" s="10">
        <f t="shared" si="9"/>
        <v>0.50308966894191098</v>
      </c>
      <c r="Z6" s="10">
        <f t="shared" si="10"/>
        <v>4.8302769977247664</v>
      </c>
      <c r="AA6" s="10">
        <f t="shared" si="11"/>
        <v>23.331575874748982</v>
      </c>
    </row>
    <row r="7" spans="1:27">
      <c r="B7" s="10">
        <v>0.1953125</v>
      </c>
      <c r="C7" s="10">
        <v>8.5</v>
      </c>
      <c r="D7" s="10">
        <f t="shared" si="0"/>
        <v>3.7866986927152584</v>
      </c>
      <c r="E7" s="10">
        <f t="shared" si="1"/>
        <v>4.7133013072847412</v>
      </c>
      <c r="F7" s="10">
        <f t="shared" si="2"/>
        <v>22.215209213252049</v>
      </c>
      <c r="I7" s="10">
        <v>0.1953125</v>
      </c>
      <c r="J7" s="10">
        <v>14.333299999999994</v>
      </c>
      <c r="K7" s="10">
        <f t="shared" si="3"/>
        <v>4.240530319763594</v>
      </c>
      <c r="L7" s="10">
        <f t="shared" si="4"/>
        <v>10.092769680236401</v>
      </c>
      <c r="M7" s="10">
        <f t="shared" si="5"/>
        <v>101.86399981829919</v>
      </c>
      <c r="P7" s="10">
        <v>0.1953125</v>
      </c>
      <c r="Q7" s="10">
        <v>9.3332999999999942</v>
      </c>
      <c r="R7" s="10">
        <f t="shared" si="6"/>
        <v>1.545838004334356</v>
      </c>
      <c r="S7" s="10">
        <f t="shared" si="7"/>
        <v>7.7874619956656383</v>
      </c>
      <c r="T7" s="10">
        <f t="shared" si="8"/>
        <v>60.64456433393665</v>
      </c>
      <c r="W7" s="10">
        <v>0.1953125</v>
      </c>
      <c r="X7" s="10">
        <v>2.6667000000000058</v>
      </c>
      <c r="Y7" s="10">
        <f t="shared" si="9"/>
        <v>1.0039210623339991</v>
      </c>
      <c r="Z7" s="10">
        <f t="shared" si="10"/>
        <v>1.6627789376660067</v>
      </c>
      <c r="AA7" s="10">
        <f t="shared" si="11"/>
        <v>2.7648337955456936</v>
      </c>
    </row>
    <row r="8" spans="1:27">
      <c r="B8" s="10">
        <v>0.390625</v>
      </c>
      <c r="C8" s="10">
        <v>9.8333333333333286</v>
      </c>
      <c r="D8" s="10">
        <f t="shared" si="0"/>
        <v>7.4566396638212629</v>
      </c>
      <c r="E8" s="10">
        <f t="shared" si="1"/>
        <v>2.3766936695120657</v>
      </c>
      <c r="F8" s="10">
        <f t="shared" si="2"/>
        <v>5.648672798698728</v>
      </c>
      <c r="I8" s="10">
        <v>0.390625</v>
      </c>
      <c r="J8" s="10">
        <v>14.999966666666666</v>
      </c>
      <c r="K8" s="10">
        <f t="shared" si="3"/>
        <v>8.3357263824601802</v>
      </c>
      <c r="L8" s="10">
        <f t="shared" si="4"/>
        <v>6.6642402842064854</v>
      </c>
      <c r="M8" s="10">
        <f t="shared" si="5"/>
        <v>44.412098565640534</v>
      </c>
      <c r="P8" s="10">
        <v>0.390625</v>
      </c>
      <c r="Q8" s="10">
        <v>1.6666333333333228</v>
      </c>
      <c r="R8" s="10">
        <f t="shared" si="6"/>
        <v>3.0707718276223286</v>
      </c>
      <c r="S8" s="10">
        <f t="shared" si="7"/>
        <v>-1.4041384942890058</v>
      </c>
      <c r="T8" s="10">
        <f t="shared" si="8"/>
        <v>1.9716049111441964</v>
      </c>
      <c r="W8" s="10">
        <v>0.390625</v>
      </c>
      <c r="X8" s="10">
        <v>4.0000333333333344</v>
      </c>
      <c r="Y8" s="10">
        <f t="shared" si="9"/>
        <v>1.998844890161636</v>
      </c>
      <c r="Z8" s="10">
        <f t="shared" si="10"/>
        <v>2.0011884431716984</v>
      </c>
      <c r="AA8" s="10">
        <f t="shared" si="11"/>
        <v>4.0047551850839662</v>
      </c>
    </row>
    <row r="9" spans="1:27">
      <c r="B9" s="10">
        <v>0.78125</v>
      </c>
      <c r="C9" s="10">
        <v>14.833333333333329</v>
      </c>
      <c r="D9" s="10">
        <f t="shared" si="0"/>
        <v>14.46638147077693</v>
      </c>
      <c r="E9" s="10">
        <f t="shared" si="1"/>
        <v>0.36695186255639811</v>
      </c>
      <c r="F9" s="10">
        <f t="shared" si="2"/>
        <v>0.13465366943360968</v>
      </c>
      <c r="I9" s="10">
        <v>0.78125</v>
      </c>
      <c r="J9" s="10">
        <v>30.999966666666666</v>
      </c>
      <c r="K9" s="10">
        <f t="shared" si="3"/>
        <v>16.116196213029454</v>
      </c>
      <c r="L9" s="10">
        <f t="shared" si="4"/>
        <v>14.883770453637212</v>
      </c>
      <c r="M9" s="10">
        <f t="shared" si="5"/>
        <v>221.52662291656404</v>
      </c>
      <c r="P9" s="10">
        <v>0.78125</v>
      </c>
      <c r="Q9" s="10">
        <v>16.333299999999994</v>
      </c>
      <c r="R9" s="10">
        <f t="shared" si="6"/>
        <v>6.0593857001684555</v>
      </c>
      <c r="S9" s="10">
        <f t="shared" si="7"/>
        <v>10.273914299831539</v>
      </c>
      <c r="T9" s="10">
        <f t="shared" si="8"/>
        <v>105.55331504028298</v>
      </c>
      <c r="W9" s="10">
        <v>0.78125</v>
      </c>
      <c r="X9" s="10">
        <v>2.6667000000000058</v>
      </c>
      <c r="Y9" s="10">
        <f t="shared" si="9"/>
        <v>3.9619882039287413</v>
      </c>
      <c r="Z9" s="10">
        <f t="shared" si="10"/>
        <v>-1.2952882039287354</v>
      </c>
      <c r="AA9" s="10">
        <f t="shared" si="11"/>
        <v>1.6777715312369295</v>
      </c>
    </row>
    <row r="10" spans="1:27">
      <c r="B10" s="10">
        <v>1.5625</v>
      </c>
      <c r="C10" s="10">
        <v>6.1666666666666714</v>
      </c>
      <c r="D10" s="10">
        <f t="shared" si="0"/>
        <v>27.291499977099175</v>
      </c>
      <c r="E10" s="10">
        <f t="shared" si="1"/>
        <v>-21.124833310432503</v>
      </c>
      <c r="F10" s="10">
        <f t="shared" si="2"/>
        <v>446.2585823935587</v>
      </c>
      <c r="I10" s="10">
        <v>1.5625</v>
      </c>
      <c r="J10" s="10">
        <v>29.999966666666666</v>
      </c>
      <c r="K10" s="10">
        <f t="shared" si="3"/>
        <v>30.201626067285922</v>
      </c>
      <c r="L10" s="10">
        <f t="shared" si="4"/>
        <v>-0.20165940061925625</v>
      </c>
      <c r="M10" s="10">
        <f t="shared" si="5"/>
        <v>4.0666513858117689E-2</v>
      </c>
      <c r="P10" s="10">
        <v>1.5625</v>
      </c>
      <c r="Q10" s="10">
        <v>16.999966666666666</v>
      </c>
      <c r="R10" s="10">
        <f t="shared" si="6"/>
        <v>11.80142090201196</v>
      </c>
      <c r="S10" s="10">
        <f t="shared" si="7"/>
        <v>5.1985457646547051</v>
      </c>
      <c r="T10" s="10">
        <f t="shared" si="8"/>
        <v>27.024878067209372</v>
      </c>
      <c r="W10" s="10">
        <v>1.5625</v>
      </c>
      <c r="X10" s="10">
        <v>14.333366666666677</v>
      </c>
      <c r="Y10" s="10">
        <f t="shared" si="9"/>
        <v>7.7834736405966582</v>
      </c>
      <c r="Z10" s="10">
        <f t="shared" si="10"/>
        <v>6.549893026070019</v>
      </c>
      <c r="AA10" s="10">
        <f t="shared" si="11"/>
        <v>42.90109865296067</v>
      </c>
    </row>
    <row r="11" spans="1:27">
      <c r="B11" s="10">
        <v>3.125</v>
      </c>
      <c r="C11" s="10">
        <v>40.833333333333329</v>
      </c>
      <c r="D11" s="10">
        <f t="shared" si="0"/>
        <v>48.993171328038258</v>
      </c>
      <c r="E11" s="10">
        <f t="shared" si="1"/>
        <v>-8.1598379947049295</v>
      </c>
      <c r="F11" s="10">
        <f t="shared" si="2"/>
        <v>66.58295609983017</v>
      </c>
      <c r="I11" s="10">
        <v>3.125</v>
      </c>
      <c r="J11" s="10">
        <v>49.666633333333323</v>
      </c>
      <c r="K11" s="10">
        <f t="shared" si="3"/>
        <v>53.552206622879105</v>
      </c>
      <c r="L11" s="10">
        <f t="shared" si="4"/>
        <v>-3.885573289545782</v>
      </c>
      <c r="M11" s="10">
        <f t="shared" si="5"/>
        <v>15.097679788431629</v>
      </c>
      <c r="P11" s="10">
        <v>3.125</v>
      </c>
      <c r="Q11" s="10">
        <v>27.333299999999994</v>
      </c>
      <c r="R11" s="10">
        <f t="shared" si="6"/>
        <v>22.4177889388327</v>
      </c>
      <c r="S11" s="10">
        <f t="shared" si="7"/>
        <v>4.9155110611672939</v>
      </c>
      <c r="T11" s="10">
        <f t="shared" si="8"/>
        <v>24.162248992458014</v>
      </c>
      <c r="W11" s="10">
        <v>3.125</v>
      </c>
      <c r="X11" s="10">
        <v>13.666700000000006</v>
      </c>
      <c r="Y11" s="10">
        <f t="shared" si="9"/>
        <v>15.023376265672605</v>
      </c>
      <c r="Z11" s="10">
        <f t="shared" si="10"/>
        <v>-1.3566762656725988</v>
      </c>
      <c r="AA11" s="10">
        <f t="shared" si="11"/>
        <v>1.8405704898393478</v>
      </c>
    </row>
    <row r="12" spans="1:27">
      <c r="B12" s="10">
        <v>6.25</v>
      </c>
      <c r="C12" s="10">
        <v>85.166666666666657</v>
      </c>
      <c r="D12" s="10">
        <f t="shared" si="0"/>
        <v>81.218957639099585</v>
      </c>
      <c r="E12" s="10">
        <f t="shared" si="1"/>
        <v>3.9477090275670719</v>
      </c>
      <c r="F12" s="10">
        <f t="shared" si="2"/>
        <v>15.584406566334556</v>
      </c>
      <c r="I12" s="10">
        <v>6.25</v>
      </c>
      <c r="J12" s="10">
        <v>86.666633333333337</v>
      </c>
      <c r="K12" s="10">
        <f t="shared" si="3"/>
        <v>86.967458371414949</v>
      </c>
      <c r="L12" s="10">
        <f t="shared" si="4"/>
        <v>-0.30082503808161221</v>
      </c>
      <c r="M12" s="10">
        <f t="shared" si="5"/>
        <v>9.0495703536803432E-2</v>
      </c>
      <c r="P12" s="10">
        <v>6.25</v>
      </c>
      <c r="Q12" s="10">
        <v>44.333299999999994</v>
      </c>
      <c r="R12" s="10">
        <f t="shared" si="6"/>
        <v>40.685551350625992</v>
      </c>
      <c r="S12" s="10">
        <f t="shared" si="7"/>
        <v>3.6477486493740017</v>
      </c>
      <c r="T12" s="10">
        <f t="shared" si="8"/>
        <v>13.306070209009853</v>
      </c>
      <c r="W12" s="10">
        <v>6.25</v>
      </c>
      <c r="X12" s="10">
        <v>29.000033333333334</v>
      </c>
      <c r="Y12" s="10">
        <f t="shared" si="9"/>
        <v>28.018426601644247</v>
      </c>
      <c r="Z12" s="10">
        <f t="shared" si="10"/>
        <v>0.9816067316890873</v>
      </c>
      <c r="AA12" s="10">
        <f t="shared" si="11"/>
        <v>0.96355177569733186</v>
      </c>
    </row>
    <row r="13" spans="1:27">
      <c r="B13" s="10">
        <v>12.5</v>
      </c>
      <c r="C13" s="10">
        <v>121.5</v>
      </c>
      <c r="D13" s="10">
        <f t="shared" si="0"/>
        <v>120.74955281652709</v>
      </c>
      <c r="E13" s="10">
        <f t="shared" si="1"/>
        <v>0.7504471834729145</v>
      </c>
      <c r="F13" s="10">
        <f t="shared" si="2"/>
        <v>0.5631709751824302</v>
      </c>
      <c r="I13" s="10">
        <v>12.5</v>
      </c>
      <c r="J13" s="10">
        <v>117.33329999999999</v>
      </c>
      <c r="K13" s="10">
        <f t="shared" si="3"/>
        <v>125.66556732142506</v>
      </c>
      <c r="L13" s="10">
        <f t="shared" si="4"/>
        <v>-8.3322673214250642</v>
      </c>
      <c r="M13" s="10">
        <f t="shared" si="5"/>
        <v>69.426678715688013</v>
      </c>
      <c r="P13" s="10">
        <v>12.5</v>
      </c>
      <c r="Q13" s="10">
        <v>68.333299999999994</v>
      </c>
      <c r="R13" s="10">
        <f t="shared" si="6"/>
        <v>68.413682984213679</v>
      </c>
      <c r="S13" s="10">
        <f t="shared" si="7"/>
        <v>-8.0382984213684949E-2</v>
      </c>
      <c r="T13" s="10">
        <f t="shared" si="8"/>
        <v>6.4614241510975237E-3</v>
      </c>
      <c r="W13" s="10">
        <v>12.5</v>
      </c>
      <c r="X13" s="10">
        <v>46.333366666666663</v>
      </c>
      <c r="Y13" s="10">
        <f t="shared" si="9"/>
        <v>49.025678357955975</v>
      </c>
      <c r="Z13" s="10">
        <f t="shared" si="10"/>
        <v>-2.6923116912893121</v>
      </c>
      <c r="AA13" s="10">
        <f t="shared" si="11"/>
        <v>7.2485422430531168</v>
      </c>
    </row>
    <row r="14" spans="1:27">
      <c r="B14" s="10">
        <v>25</v>
      </c>
      <c r="C14" s="10">
        <v>169.5</v>
      </c>
      <c r="D14" s="10">
        <f t="shared" si="0"/>
        <v>159.20292624209159</v>
      </c>
      <c r="E14" s="10">
        <f t="shared" si="1"/>
        <v>10.297073757908407</v>
      </c>
      <c r="F14" s="10">
        <f t="shared" si="2"/>
        <v>106.02972797580597</v>
      </c>
      <c r="I14" s="10">
        <v>25</v>
      </c>
      <c r="J14" s="10">
        <v>160.33330000000001</v>
      </c>
      <c r="K14" s="10">
        <f t="shared" si="3"/>
        <v>160.71615074223683</v>
      </c>
      <c r="L14" s="10">
        <f t="shared" si="4"/>
        <v>-0.38285074223682614</v>
      </c>
      <c r="M14" s="10">
        <f t="shared" si="5"/>
        <v>0.14657469083128868</v>
      </c>
      <c r="P14" s="10">
        <v>25</v>
      </c>
      <c r="Q14" s="10">
        <v>101.66663333333334</v>
      </c>
      <c r="R14" s="10">
        <f t="shared" si="6"/>
        <v>103.11421723236698</v>
      </c>
      <c r="S14" s="10">
        <f t="shared" si="7"/>
        <v>-1.4475838990336456</v>
      </c>
      <c r="T14" s="10">
        <f t="shared" si="8"/>
        <v>2.0954991447414519</v>
      </c>
      <c r="W14" s="10">
        <v>25</v>
      </c>
      <c r="X14" s="10">
        <v>76.000033333333349</v>
      </c>
      <c r="Y14" s="10">
        <f t="shared" si="9"/>
        <v>77.228130139783332</v>
      </c>
      <c r="Z14" s="10">
        <f t="shared" si="10"/>
        <v>-1.2280968064499831</v>
      </c>
      <c r="AA14" s="10">
        <f t="shared" si="11"/>
        <v>1.5082217660126471</v>
      </c>
    </row>
    <row r="15" spans="1:27">
      <c r="B15" s="10">
        <v>50</v>
      </c>
      <c r="C15" s="10">
        <v>189.16666666666669</v>
      </c>
      <c r="D15" s="10">
        <f t="shared" si="0"/>
        <v>189.0403089678193</v>
      </c>
      <c r="E15" s="10">
        <f t="shared" si="1"/>
        <v>0.12635769884738579</v>
      </c>
      <c r="F15" s="10">
        <f t="shared" si="2"/>
        <v>1.596626805800664E-2</v>
      </c>
      <c r="I15" s="10">
        <v>50</v>
      </c>
      <c r="J15" s="10">
        <v>193.66663333333332</v>
      </c>
      <c r="K15" s="10">
        <f t="shared" si="3"/>
        <v>186.12015637362066</v>
      </c>
      <c r="L15" s="10">
        <f t="shared" si="4"/>
        <v>7.5464769597126633</v>
      </c>
      <c r="M15" s="10">
        <f t="shared" si="5"/>
        <v>56.949314503474085</v>
      </c>
      <c r="P15" s="10">
        <v>50</v>
      </c>
      <c r="Q15" s="10">
        <v>122.33329999999999</v>
      </c>
      <c r="R15" s="10">
        <f t="shared" si="6"/>
        <v>137.15074451706084</v>
      </c>
      <c r="S15" s="10">
        <f t="shared" si="7"/>
        <v>-14.817444517060849</v>
      </c>
      <c r="T15" s="10">
        <f t="shared" si="8"/>
        <v>219.55666201617663</v>
      </c>
      <c r="W15" s="10">
        <v>50</v>
      </c>
      <c r="X15" s="10">
        <v>97.000033333333349</v>
      </c>
      <c r="Y15" s="10">
        <f t="shared" si="9"/>
        <v>106.14468648203669</v>
      </c>
      <c r="Z15" s="10">
        <f t="shared" si="10"/>
        <v>-9.1446531487033411</v>
      </c>
      <c r="AA15" s="10">
        <f t="shared" si="11"/>
        <v>83.624681210089932</v>
      </c>
    </row>
    <row r="16" spans="1:27">
      <c r="B16" s="10">
        <v>100</v>
      </c>
      <c r="C16" s="10">
        <v>213.16666666666669</v>
      </c>
      <c r="D16" s="10">
        <f t="shared" si="0"/>
        <v>208.42402762719402</v>
      </c>
      <c r="E16" s="10">
        <f t="shared" si="1"/>
        <v>4.7426390394726639</v>
      </c>
      <c r="F16" s="10">
        <f t="shared" si="2"/>
        <v>22.492625058730191</v>
      </c>
      <c r="I16" s="10">
        <v>100</v>
      </c>
      <c r="J16" s="10">
        <v>208.99996666666669</v>
      </c>
      <c r="K16" s="10">
        <f t="shared" si="3"/>
        <v>201.79636520127818</v>
      </c>
      <c r="L16" s="10">
        <f t="shared" si="4"/>
        <v>7.2036014653885161</v>
      </c>
      <c r="M16" s="10">
        <f t="shared" si="5"/>
        <v>51.891874072147573</v>
      </c>
      <c r="P16" s="10">
        <v>100</v>
      </c>
      <c r="Q16" s="10">
        <v>173.66663333333332</v>
      </c>
      <c r="R16" s="10">
        <f t="shared" si="6"/>
        <v>163.42394446866379</v>
      </c>
      <c r="S16" s="10">
        <f t="shared" si="7"/>
        <v>10.242688864669532</v>
      </c>
      <c r="T16" s="10">
        <f t="shared" si="8"/>
        <v>104.91267517842522</v>
      </c>
      <c r="W16" s="10">
        <v>100</v>
      </c>
      <c r="X16" s="10">
        <v>144.00003333333336</v>
      </c>
      <c r="Y16" s="10">
        <f t="shared" si="9"/>
        <v>128.4601722560806</v>
      </c>
      <c r="Z16" s="10">
        <f t="shared" si="10"/>
        <v>15.539861077252766</v>
      </c>
      <c r="AA16" s="10">
        <f t="shared" si="11"/>
        <v>241.48728230031551</v>
      </c>
    </row>
    <row r="17" spans="1:27">
      <c r="B17" s="10">
        <v>200</v>
      </c>
      <c r="C17" s="10">
        <v>211.83333333333331</v>
      </c>
      <c r="D17" s="10">
        <f t="shared" si="0"/>
        <v>219.62535591770532</v>
      </c>
      <c r="E17" s="10">
        <f t="shared" si="1"/>
        <v>-7.7920225843720061</v>
      </c>
      <c r="F17" s="10">
        <f t="shared" si="2"/>
        <v>60.715615955363397</v>
      </c>
      <c r="I17" s="10">
        <v>200</v>
      </c>
      <c r="J17" s="10">
        <v>210.99996666666669</v>
      </c>
      <c r="K17" s="10">
        <f t="shared" si="3"/>
        <v>210.56481463270669</v>
      </c>
      <c r="L17" s="10">
        <f t="shared" si="4"/>
        <v>0.43515203396000857</v>
      </c>
      <c r="M17" s="10">
        <f t="shared" si="5"/>
        <v>0.18935729265953244</v>
      </c>
      <c r="P17" s="10">
        <v>200</v>
      </c>
      <c r="Q17" s="10">
        <v>189.33330000000001</v>
      </c>
      <c r="R17" s="10">
        <f t="shared" si="6"/>
        <v>180.30171039886514</v>
      </c>
      <c r="S17" s="10">
        <f t="shared" si="7"/>
        <v>9.0315896011348684</v>
      </c>
      <c r="T17" s="10">
        <f t="shared" si="8"/>
        <v>81.569610723327486</v>
      </c>
      <c r="W17" s="10">
        <v>200</v>
      </c>
      <c r="X17" s="10">
        <v>150.66669999999999</v>
      </c>
      <c r="Y17" s="10">
        <f t="shared" si="9"/>
        <v>142.42739446748044</v>
      </c>
      <c r="Z17" s="10">
        <f t="shared" si="10"/>
        <v>8.2393055325195519</v>
      </c>
      <c r="AA17" s="10">
        <f t="shared" si="11"/>
        <v>67.886155658207301</v>
      </c>
    </row>
    <row r="18" spans="1:27" ht="16">
      <c r="B18" s="13">
        <v>400</v>
      </c>
      <c r="C18" s="10">
        <v>223.83333333333331</v>
      </c>
      <c r="D18" s="10">
        <f t="shared" si="0"/>
        <v>225.67064120798176</v>
      </c>
      <c r="E18" s="10">
        <f t="shared" si="1"/>
        <v>-1.8373078746484452</v>
      </c>
      <c r="F18" s="10">
        <f t="shared" si="2"/>
        <v>3.3757002262451872</v>
      </c>
      <c r="I18" s="13">
        <v>400</v>
      </c>
      <c r="J18" s="10">
        <v>205.99996666666669</v>
      </c>
      <c r="K18" s="10">
        <f t="shared" si="3"/>
        <v>215.21030725256105</v>
      </c>
      <c r="L18" s="10">
        <f t="shared" si="4"/>
        <v>-9.2103405858943574</v>
      </c>
      <c r="M18" s="10">
        <f t="shared" si="5"/>
        <v>84.830373708172814</v>
      </c>
      <c r="P18" s="13">
        <v>400</v>
      </c>
      <c r="Q18" s="10">
        <v>181.99996666666669</v>
      </c>
      <c r="R18" s="10">
        <f t="shared" si="6"/>
        <v>189.95679034022419</v>
      </c>
      <c r="S18" s="10">
        <f t="shared" si="7"/>
        <v>-7.9568236735574942</v>
      </c>
      <c r="T18" s="10">
        <f t="shared" si="8"/>
        <v>63.311042972084977</v>
      </c>
      <c r="W18" s="13">
        <v>400</v>
      </c>
      <c r="X18" s="10">
        <v>136.66669999999999</v>
      </c>
      <c r="Y18" s="10">
        <f t="shared" si="9"/>
        <v>150.20726360922839</v>
      </c>
      <c r="Z18" s="10">
        <f t="shared" si="10"/>
        <v>-13.5405636092284</v>
      </c>
      <c r="AA18" s="10">
        <f t="shared" si="11"/>
        <v>183.34686285556043</v>
      </c>
    </row>
    <row r="19" spans="1:27" ht="16">
      <c r="B19" s="10" t="s">
        <v>82</v>
      </c>
      <c r="C19" s="12" t="s">
        <v>81</v>
      </c>
      <c r="D19" s="12" t="s">
        <v>80</v>
      </c>
      <c r="E19" s="12"/>
      <c r="F19" s="10" t="s">
        <v>79</v>
      </c>
      <c r="I19" s="10" t="s">
        <v>82</v>
      </c>
      <c r="J19" s="12" t="s">
        <v>81</v>
      </c>
      <c r="K19" s="12" t="s">
        <v>80</v>
      </c>
      <c r="L19" s="12"/>
      <c r="M19" s="10" t="s">
        <v>79</v>
      </c>
      <c r="P19" s="10" t="s">
        <v>82</v>
      </c>
      <c r="Q19" s="12" t="s">
        <v>81</v>
      </c>
      <c r="R19" s="12" t="s">
        <v>80</v>
      </c>
      <c r="S19" s="12"/>
      <c r="T19" s="10" t="s">
        <v>79</v>
      </c>
      <c r="W19" s="10" t="s">
        <v>82</v>
      </c>
      <c r="X19" s="12" t="s">
        <v>81</v>
      </c>
      <c r="Y19" s="12" t="s">
        <v>80</v>
      </c>
      <c r="Z19" s="12"/>
      <c r="AA19" s="10" t="s">
        <v>79</v>
      </c>
    </row>
    <row r="20" spans="1:27" ht="16">
      <c r="B20" s="12">
        <v>11.281294437428217</v>
      </c>
      <c r="C20" s="12">
        <v>232.04303031875688</v>
      </c>
      <c r="D20" s="12">
        <v>0.5</v>
      </c>
      <c r="E20" s="12"/>
      <c r="F20" s="11">
        <f>SUM(F3:F18)</f>
        <v>844.17049377661908</v>
      </c>
      <c r="I20" s="12">
        <v>8.9587731215706494</v>
      </c>
      <c r="J20" s="12">
        <v>220.04217245072985</v>
      </c>
      <c r="K20" s="12">
        <v>1</v>
      </c>
      <c r="L20" s="12"/>
      <c r="M20" s="11">
        <f>SUM(M3:M18)</f>
        <v>1037.8435725690197</v>
      </c>
      <c r="P20" s="12">
        <v>22.167966660528368</v>
      </c>
      <c r="Q20" s="12">
        <v>200.55949623126389</v>
      </c>
      <c r="R20" s="12">
        <v>3</v>
      </c>
      <c r="S20" s="12"/>
      <c r="T20" s="11">
        <f>SUM(T3:T18)</f>
        <v>765.16541396222533</v>
      </c>
      <c r="W20" s="12">
        <v>21.704667900131202</v>
      </c>
      <c r="X20" s="12">
        <v>158.53529799589305</v>
      </c>
      <c r="Y20" s="12">
        <v>9</v>
      </c>
      <c r="Z20" s="12"/>
      <c r="AA20" s="11">
        <f>SUM(AA3:AA18)</f>
        <v>691.57595553174633</v>
      </c>
    </row>
    <row r="22" spans="1:27">
      <c r="A22" s="14"/>
      <c r="B22" s="10" t="s">
        <v>90</v>
      </c>
      <c r="C22" s="10" t="s">
        <v>89</v>
      </c>
      <c r="D22" s="11" t="s">
        <v>88</v>
      </c>
      <c r="E22" s="10" t="s">
        <v>87</v>
      </c>
      <c r="F22" s="10" t="s">
        <v>86</v>
      </c>
      <c r="H22" s="14"/>
      <c r="I22" s="10" t="s">
        <v>90</v>
      </c>
      <c r="J22" s="10" t="s">
        <v>89</v>
      </c>
      <c r="K22" s="10" t="s">
        <v>88</v>
      </c>
      <c r="L22" s="10" t="s">
        <v>87</v>
      </c>
      <c r="M22" s="10" t="s">
        <v>86</v>
      </c>
      <c r="O22" s="14"/>
      <c r="P22" s="10" t="s">
        <v>90</v>
      </c>
      <c r="Q22" s="10" t="s">
        <v>89</v>
      </c>
      <c r="R22" s="10" t="s">
        <v>88</v>
      </c>
      <c r="S22" s="10" t="s">
        <v>87</v>
      </c>
      <c r="T22" s="10" t="s">
        <v>86</v>
      </c>
      <c r="V22" s="14"/>
      <c r="W22" s="10" t="s">
        <v>90</v>
      </c>
      <c r="X22" s="10" t="s">
        <v>89</v>
      </c>
      <c r="Y22" s="10" t="s">
        <v>88</v>
      </c>
      <c r="Z22" s="10" t="s">
        <v>87</v>
      </c>
      <c r="AA22" s="10" t="s">
        <v>86</v>
      </c>
    </row>
    <row r="23" spans="1:27">
      <c r="A23" s="10" t="s">
        <v>97</v>
      </c>
      <c r="B23" s="10">
        <v>1.220703125E-2</v>
      </c>
      <c r="C23" s="10">
        <v>-4.6666666666666714</v>
      </c>
      <c r="D23" s="10">
        <f t="shared" ref="D23:D38" si="12" xml:space="preserve"> (B$40+B23+D$40-((B$40+B23+D$40)^2-4*D$40*B23)^0.5)*C$40/(2*D$40)</f>
        <v>0.28988156255644615</v>
      </c>
      <c r="E23" s="10">
        <f t="shared" ref="E23:E38" si="13">C23-D23</f>
        <v>-4.9565482292231176</v>
      </c>
      <c r="F23" s="10">
        <f t="shared" ref="F23:F38" si="14">E23*E23</f>
        <v>24.567370348614823</v>
      </c>
      <c r="H23" s="10" t="s">
        <v>96</v>
      </c>
      <c r="I23" s="10">
        <v>1.220703125E-2</v>
      </c>
      <c r="J23" s="10">
        <v>12.333366666666677</v>
      </c>
      <c r="K23" s="10">
        <f t="shared" ref="K23:K38" si="15" xml:space="preserve"> (I$40+I23+K$40-((I$40+I23+K$40)^2-4*K$40*I23)^0.5)*J$40/(2*K$40)</f>
        <v>0.26945618836479263</v>
      </c>
      <c r="L23" s="10">
        <f t="shared" ref="L23:L38" si="16">J23-K23</f>
        <v>12.063910478301885</v>
      </c>
      <c r="M23" s="10">
        <f t="shared" ref="M23:M38" si="17">L23*L23</f>
        <v>145.53793602848202</v>
      </c>
      <c r="O23" s="10" t="s">
        <v>95</v>
      </c>
      <c r="P23" s="10">
        <v>1.220703125E-2</v>
      </c>
      <c r="Q23" s="10">
        <v>-8.6667000000000058</v>
      </c>
      <c r="R23" s="10">
        <f t="shared" ref="R23:R38" si="18" xml:space="preserve"> (P$40+P23+R$40-((P$40+P23+R$40)^2-4*R$40*P23)^0.5)*Q$40/(2*R$40)</f>
        <v>0.12378410828296164</v>
      </c>
      <c r="S23" s="10">
        <f t="shared" ref="S23:S38" si="19">Q23-R23</f>
        <v>-8.7904841082829677</v>
      </c>
      <c r="T23" s="10">
        <f t="shared" ref="T23:T38" si="20">S23*S23</f>
        <v>77.272610857975408</v>
      </c>
      <c r="V23" s="10" t="s">
        <v>94</v>
      </c>
      <c r="W23" s="10">
        <v>1.220703125E-2</v>
      </c>
      <c r="X23" s="10">
        <v>-2.3332999999999942</v>
      </c>
      <c r="Y23" s="10">
        <f t="shared" ref="Y23:Y38" si="21" xml:space="preserve"> (W$40+W23+Y$40-((W$40+W23+Y$40)^2-4*Y$40*W23)^0.5)*X$40/(2*Y$40)</f>
        <v>6.4819041917255446E-2</v>
      </c>
      <c r="Z23" s="10">
        <f t="shared" ref="Z23:Z38" si="22">X23-Y23</f>
        <v>-2.3981190419172496</v>
      </c>
      <c r="AA23" s="10">
        <f t="shared" ref="AA23:AA38" si="23">Z23*Z23</f>
        <v>5.7509749392061069</v>
      </c>
    </row>
    <row r="24" spans="1:27">
      <c r="A24" s="10" t="s">
        <v>100</v>
      </c>
      <c r="B24" s="10">
        <v>2.44140625E-2</v>
      </c>
      <c r="C24" s="10">
        <v>-3.3333333333333286</v>
      </c>
      <c r="D24" s="10">
        <f t="shared" si="12"/>
        <v>0.579054396693363</v>
      </c>
      <c r="E24" s="10">
        <f t="shared" si="13"/>
        <v>-3.9123877300266914</v>
      </c>
      <c r="F24" s="10">
        <f t="shared" si="14"/>
        <v>15.306777750063407</v>
      </c>
      <c r="H24" s="10" t="s">
        <v>100</v>
      </c>
      <c r="I24" s="10">
        <v>2.44140625E-2</v>
      </c>
      <c r="J24" s="10">
        <v>3.3333333334439885E-5</v>
      </c>
      <c r="K24" s="10">
        <f t="shared" si="15"/>
        <v>0.53834238032145987</v>
      </c>
      <c r="L24" s="10">
        <f t="shared" si="16"/>
        <v>-0.53830904698812543</v>
      </c>
      <c r="M24" s="10">
        <f t="shared" si="17"/>
        <v>0.28977663006926385</v>
      </c>
      <c r="O24" s="10" t="s">
        <v>100</v>
      </c>
      <c r="P24" s="10">
        <v>2.44140625E-2</v>
      </c>
      <c r="Q24" s="10">
        <v>0.99996666666666556</v>
      </c>
      <c r="R24" s="10">
        <f t="shared" si="18"/>
        <v>0.24743940740525794</v>
      </c>
      <c r="S24" s="10">
        <f t="shared" si="19"/>
        <v>0.75252725926140762</v>
      </c>
      <c r="T24" s="10">
        <f t="shared" si="20"/>
        <v>0.56629727593148582</v>
      </c>
      <c r="V24" s="10" t="s">
        <v>100</v>
      </c>
      <c r="W24" s="10">
        <v>2.44140625E-2</v>
      </c>
      <c r="X24" s="10">
        <v>-0.33329999999999416</v>
      </c>
      <c r="Y24" s="10">
        <f t="shared" si="21"/>
        <v>0.12960339615124519</v>
      </c>
      <c r="Z24" s="10">
        <f t="shared" si="22"/>
        <v>-0.46290339615123932</v>
      </c>
      <c r="AA24" s="10">
        <f t="shared" si="23"/>
        <v>0.21427955416835121</v>
      </c>
    </row>
    <row r="25" spans="1:27">
      <c r="B25" s="10">
        <v>4.8828125E-2</v>
      </c>
      <c r="C25" s="10">
        <v>1</v>
      </c>
      <c r="D25" s="10">
        <f t="shared" si="12"/>
        <v>1.1552836761925824</v>
      </c>
      <c r="E25" s="10">
        <f t="shared" si="13"/>
        <v>-0.15528367619258243</v>
      </c>
      <c r="F25" s="10">
        <f t="shared" si="14"/>
        <v>2.4113020091882792E-2</v>
      </c>
      <c r="I25" s="10">
        <v>4.8828125E-2</v>
      </c>
      <c r="J25" s="10">
        <v>14.333366666666677</v>
      </c>
      <c r="K25" s="10">
        <f t="shared" si="15"/>
        <v>1.0744112337862335</v>
      </c>
      <c r="L25" s="10">
        <f t="shared" si="16"/>
        <v>13.258955432880445</v>
      </c>
      <c r="M25" s="10">
        <f t="shared" si="17"/>
        <v>175.79989917110987</v>
      </c>
      <c r="P25" s="10">
        <v>4.8828125E-2</v>
      </c>
      <c r="Q25" s="10">
        <v>-1.0000333333333344</v>
      </c>
      <c r="R25" s="10">
        <f t="shared" si="18"/>
        <v>0.4943642396229917</v>
      </c>
      <c r="S25" s="10">
        <f t="shared" si="19"/>
        <v>-1.4943975729563261</v>
      </c>
      <c r="T25" s="10">
        <f t="shared" si="20"/>
        <v>2.233224106057758</v>
      </c>
      <c r="V25" s="10" t="s">
        <v>93</v>
      </c>
      <c r="W25" s="10">
        <v>4.8828125E-2</v>
      </c>
      <c r="X25" s="10">
        <v>0.66670000000000584</v>
      </c>
      <c r="Y25" s="10">
        <f t="shared" si="21"/>
        <v>0.25906811169777438</v>
      </c>
      <c r="Z25" s="10">
        <f t="shared" si="22"/>
        <v>0.40763188830223146</v>
      </c>
      <c r="AA25" s="10">
        <f t="shared" si="23"/>
        <v>0.16616375636084291</v>
      </c>
    </row>
    <row r="26" spans="1:27">
      <c r="B26" s="10">
        <v>9.765625E-2</v>
      </c>
      <c r="C26" s="10">
        <v>-1.5</v>
      </c>
      <c r="D26" s="10">
        <f t="shared" si="12"/>
        <v>2.2993446651989706</v>
      </c>
      <c r="E26" s="10">
        <f t="shared" si="13"/>
        <v>-3.7993446651989706</v>
      </c>
      <c r="F26" s="10">
        <f t="shared" si="14"/>
        <v>14.435019884975878</v>
      </c>
      <c r="I26" s="10">
        <v>9.765625E-2</v>
      </c>
      <c r="J26" s="10">
        <v>16.333366666666677</v>
      </c>
      <c r="K26" s="10">
        <f t="shared" si="15"/>
        <v>2.1397797345870466</v>
      </c>
      <c r="L26" s="10">
        <f t="shared" si="16"/>
        <v>14.193586932079631</v>
      </c>
      <c r="M26" s="10">
        <f t="shared" si="17"/>
        <v>201.45790999850166</v>
      </c>
      <c r="P26" s="10">
        <v>9.765625E-2</v>
      </c>
      <c r="Q26" s="10">
        <v>-1.3333666666666772</v>
      </c>
      <c r="R26" s="10">
        <f t="shared" si="18"/>
        <v>0.98667545842763449</v>
      </c>
      <c r="S26" s="10">
        <f t="shared" si="19"/>
        <v>-2.3200421250943117</v>
      </c>
      <c r="T26" s="10">
        <f t="shared" si="20"/>
        <v>5.3825954622121301</v>
      </c>
      <c r="W26" s="10">
        <v>9.765625E-2</v>
      </c>
      <c r="X26" s="10">
        <v>-1.9999666666666656</v>
      </c>
      <c r="Y26" s="10">
        <f t="shared" si="21"/>
        <v>0.51758206195971634</v>
      </c>
      <c r="Z26" s="10">
        <f t="shared" si="22"/>
        <v>-2.517548728626382</v>
      </c>
      <c r="AA26" s="10">
        <f t="shared" si="23"/>
        <v>6.3380516010083126</v>
      </c>
    </row>
    <row r="27" spans="1:27">
      <c r="B27" s="10">
        <v>0.1953125</v>
      </c>
      <c r="C27" s="10">
        <v>4.3333333333333286</v>
      </c>
      <c r="D27" s="10">
        <f t="shared" si="12"/>
        <v>4.5544115297470444</v>
      </c>
      <c r="E27" s="10">
        <f t="shared" si="13"/>
        <v>-0.22107819641371584</v>
      </c>
      <c r="F27" s="10">
        <f t="shared" si="14"/>
        <v>4.8875568929541521E-2</v>
      </c>
      <c r="I27" s="10">
        <v>0.1953125</v>
      </c>
      <c r="J27" s="10">
        <v>22.333366666666677</v>
      </c>
      <c r="K27" s="10">
        <f t="shared" si="15"/>
        <v>4.2437948470247271</v>
      </c>
      <c r="L27" s="10">
        <f t="shared" si="16"/>
        <v>18.08957181964195</v>
      </c>
      <c r="M27" s="10">
        <f t="shared" si="17"/>
        <v>327.23260861798417</v>
      </c>
      <c r="P27" s="10">
        <v>0.1953125</v>
      </c>
      <c r="Q27" s="10">
        <v>0.33329999999999416</v>
      </c>
      <c r="R27" s="10">
        <f t="shared" si="18"/>
        <v>1.9651808860272999</v>
      </c>
      <c r="S27" s="10">
        <f t="shared" si="19"/>
        <v>-1.6318808860273057</v>
      </c>
      <c r="T27" s="10">
        <f t="shared" si="20"/>
        <v>2.6630352261812646</v>
      </c>
      <c r="W27" s="10">
        <v>0.1953125</v>
      </c>
      <c r="X27" s="10">
        <v>3.3333333334439885E-5</v>
      </c>
      <c r="Y27" s="10">
        <f t="shared" si="21"/>
        <v>1.0329519652681531</v>
      </c>
      <c r="Z27" s="10">
        <f t="shared" si="22"/>
        <v>-1.0329186319348187</v>
      </c>
      <c r="AA27" s="10">
        <f t="shared" si="23"/>
        <v>1.0669209001980975</v>
      </c>
    </row>
    <row r="28" spans="1:27">
      <c r="B28" s="10">
        <v>0.390625</v>
      </c>
      <c r="C28" s="10">
        <v>8.3333333333333286</v>
      </c>
      <c r="D28" s="10">
        <f t="shared" si="12"/>
        <v>8.9364709281621035</v>
      </c>
      <c r="E28" s="10">
        <f t="shared" si="13"/>
        <v>-0.60313759482877494</v>
      </c>
      <c r="F28" s="10">
        <f t="shared" si="14"/>
        <v>0.3637749582958395</v>
      </c>
      <c r="I28" s="10">
        <v>0.390625</v>
      </c>
      <c r="J28" s="10">
        <v>26.000033333333334</v>
      </c>
      <c r="K28" s="10">
        <f t="shared" si="15"/>
        <v>8.3477081824181365</v>
      </c>
      <c r="L28" s="10">
        <f t="shared" si="16"/>
        <v>17.652325150915196</v>
      </c>
      <c r="M28" s="10">
        <f t="shared" si="17"/>
        <v>311.60458323363321</v>
      </c>
      <c r="P28" s="10">
        <v>0.390625</v>
      </c>
      <c r="Q28" s="10">
        <v>-1.0000333333333344</v>
      </c>
      <c r="R28" s="10">
        <f t="shared" si="18"/>
        <v>3.8980150878930595</v>
      </c>
      <c r="S28" s="10">
        <f t="shared" si="19"/>
        <v>-4.8980484212263935</v>
      </c>
      <c r="T28" s="10">
        <f t="shared" si="20"/>
        <v>23.990878336678367</v>
      </c>
      <c r="W28" s="10">
        <v>0.390625</v>
      </c>
      <c r="X28" s="10">
        <v>-4.3332999999999942</v>
      </c>
      <c r="Y28" s="10">
        <f t="shared" si="21"/>
        <v>2.057091178851751</v>
      </c>
      <c r="Z28" s="10">
        <f t="shared" si="22"/>
        <v>-6.3903911788517451</v>
      </c>
      <c r="AA28" s="10">
        <f t="shared" si="23"/>
        <v>40.837099418746199</v>
      </c>
    </row>
    <row r="29" spans="1:27">
      <c r="B29" s="10">
        <v>0.78125</v>
      </c>
      <c r="C29" s="10">
        <v>27</v>
      </c>
      <c r="D29" s="10">
        <f t="shared" si="12"/>
        <v>17.219425745347241</v>
      </c>
      <c r="E29" s="10">
        <f t="shared" si="13"/>
        <v>9.780574254652759</v>
      </c>
      <c r="F29" s="10">
        <f t="shared" si="14"/>
        <v>95.659632750776368</v>
      </c>
      <c r="I29" s="10">
        <v>0.78125</v>
      </c>
      <c r="J29" s="10">
        <v>27.666700000000006</v>
      </c>
      <c r="K29" s="10">
        <f t="shared" si="15"/>
        <v>16.160175979558101</v>
      </c>
      <c r="L29" s="10">
        <f t="shared" si="16"/>
        <v>11.506524020441905</v>
      </c>
      <c r="M29" s="10">
        <f t="shared" si="17"/>
        <v>132.40009503300655</v>
      </c>
      <c r="P29" s="10">
        <v>0.78125</v>
      </c>
      <c r="Q29" s="10">
        <v>9.3332999999999942</v>
      </c>
      <c r="R29" s="10">
        <f t="shared" si="18"/>
        <v>7.6692636590381467</v>
      </c>
      <c r="S29" s="10">
        <f t="shared" si="19"/>
        <v>1.6640363409618475</v>
      </c>
      <c r="T29" s="10">
        <f t="shared" si="20"/>
        <v>2.7690169440416939</v>
      </c>
      <c r="W29" s="10">
        <v>0.78125</v>
      </c>
      <c r="X29" s="10">
        <v>-2.6666333333333228</v>
      </c>
      <c r="Y29" s="10">
        <f t="shared" si="21"/>
        <v>4.0792181453823808</v>
      </c>
      <c r="Z29" s="10">
        <f t="shared" si="22"/>
        <v>-6.7458514787157036</v>
      </c>
      <c r="AA29" s="10">
        <f t="shared" si="23"/>
        <v>45.506512172890844</v>
      </c>
    </row>
    <row r="30" spans="1:27">
      <c r="B30" s="10">
        <v>1.5625</v>
      </c>
      <c r="C30" s="10">
        <v>34.666666666666671</v>
      </c>
      <c r="D30" s="10">
        <f t="shared" si="12"/>
        <v>32.080834882107844</v>
      </c>
      <c r="E30" s="10">
        <f t="shared" si="13"/>
        <v>2.5858317845588275</v>
      </c>
      <c r="F30" s="10">
        <f t="shared" si="14"/>
        <v>6.6865260180346899</v>
      </c>
      <c r="I30" s="10">
        <v>1.5625</v>
      </c>
      <c r="J30" s="10">
        <v>34.000033333333334</v>
      </c>
      <c r="K30" s="10">
        <f t="shared" si="15"/>
        <v>30.3569830077038</v>
      </c>
      <c r="L30" s="10">
        <f t="shared" si="16"/>
        <v>3.6430503256295346</v>
      </c>
      <c r="M30" s="10">
        <f t="shared" si="17"/>
        <v>13.271815675069458</v>
      </c>
      <c r="P30" s="10">
        <v>1.5625</v>
      </c>
      <c r="Q30" s="10">
        <v>9.9999666666666656</v>
      </c>
      <c r="R30" s="10">
        <f t="shared" si="18"/>
        <v>14.851679874376593</v>
      </c>
      <c r="S30" s="10">
        <f t="shared" si="19"/>
        <v>-4.8517132077099276</v>
      </c>
      <c r="T30" s="10">
        <f t="shared" si="20"/>
        <v>23.539121049866957</v>
      </c>
      <c r="W30" s="10">
        <v>1.5625</v>
      </c>
      <c r="X30" s="10">
        <v>1.0000333333333344</v>
      </c>
      <c r="Y30" s="10">
        <f t="shared" si="21"/>
        <v>8.020868013620948</v>
      </c>
      <c r="Z30" s="10">
        <f t="shared" si="22"/>
        <v>-7.0208346802876136</v>
      </c>
      <c r="AA30" s="10">
        <f t="shared" si="23"/>
        <v>49.29211960792928</v>
      </c>
    </row>
    <row r="31" spans="1:27">
      <c r="B31" s="10">
        <v>3.125</v>
      </c>
      <c r="C31" s="10">
        <v>43.5</v>
      </c>
      <c r="D31" s="10">
        <f t="shared" si="12"/>
        <v>56.37880690256366</v>
      </c>
      <c r="E31" s="10">
        <f t="shared" si="13"/>
        <v>-12.87880690256366</v>
      </c>
      <c r="F31" s="10">
        <f t="shared" si="14"/>
        <v>165.86366723352137</v>
      </c>
      <c r="I31" s="10">
        <v>3.125</v>
      </c>
      <c r="J31" s="10">
        <v>46.333366666666677</v>
      </c>
      <c r="K31" s="10">
        <f t="shared" si="15"/>
        <v>54.053623169046475</v>
      </c>
      <c r="L31" s="10">
        <f t="shared" si="16"/>
        <v>-7.7202565023797973</v>
      </c>
      <c r="M31" s="10">
        <f t="shared" si="17"/>
        <v>59.60236046253754</v>
      </c>
      <c r="P31" s="10">
        <v>3.125</v>
      </c>
      <c r="Q31" s="10">
        <v>21.666633333333323</v>
      </c>
      <c r="R31" s="10">
        <f t="shared" si="18"/>
        <v>27.906310365147817</v>
      </c>
      <c r="S31" s="10">
        <f t="shared" si="19"/>
        <v>-6.2396770318144945</v>
      </c>
      <c r="T31" s="10">
        <f t="shared" si="20"/>
        <v>38.933569461353343</v>
      </c>
      <c r="W31" s="10">
        <v>3.125</v>
      </c>
      <c r="X31" s="10">
        <v>4.0000333333333344</v>
      </c>
      <c r="Y31" s="10">
        <f t="shared" si="21"/>
        <v>15.50963495133967</v>
      </c>
      <c r="Z31" s="10">
        <f t="shared" si="22"/>
        <v>-11.509601618006336</v>
      </c>
      <c r="AA31" s="10">
        <f t="shared" si="23"/>
        <v>132.47092940521406</v>
      </c>
    </row>
    <row r="32" spans="1:27">
      <c r="B32" s="10">
        <v>6.25</v>
      </c>
      <c r="C32" s="10">
        <v>82.333333333333343</v>
      </c>
      <c r="D32" s="10">
        <f t="shared" si="12"/>
        <v>90.554819048523612</v>
      </c>
      <c r="E32" s="10">
        <f t="shared" si="13"/>
        <v>-8.2214857151902692</v>
      </c>
      <c r="F32" s="10">
        <f t="shared" si="14"/>
        <v>67.592827365077653</v>
      </c>
      <c r="I32" s="10">
        <v>6.25</v>
      </c>
      <c r="J32" s="10">
        <v>88.666700000000006</v>
      </c>
      <c r="K32" s="10">
        <f t="shared" si="15"/>
        <v>88.346053564966667</v>
      </c>
      <c r="L32" s="10">
        <f t="shared" si="16"/>
        <v>0.32064643503333912</v>
      </c>
      <c r="M32" s="10">
        <f t="shared" si="17"/>
        <v>0.10281413629958937</v>
      </c>
      <c r="P32" s="10">
        <v>6.25</v>
      </c>
      <c r="Q32" s="10">
        <v>56.666633333333337</v>
      </c>
      <c r="R32" s="10">
        <f t="shared" si="18"/>
        <v>49.661635498928696</v>
      </c>
      <c r="S32" s="10">
        <f t="shared" si="19"/>
        <v>7.0049978344046409</v>
      </c>
      <c r="T32" s="10">
        <f t="shared" si="20"/>
        <v>49.069994660013705</v>
      </c>
      <c r="W32" s="10">
        <v>6.25</v>
      </c>
      <c r="X32" s="10">
        <v>26.666700000000006</v>
      </c>
      <c r="Y32" s="10">
        <f t="shared" si="21"/>
        <v>29.032857253536456</v>
      </c>
      <c r="Z32" s="10">
        <f t="shared" si="22"/>
        <v>-2.3661572535364499</v>
      </c>
      <c r="AA32" s="10">
        <f t="shared" si="23"/>
        <v>5.5987001484631556</v>
      </c>
    </row>
    <row r="33" spans="1:27">
      <c r="B33" s="10">
        <v>12.5</v>
      </c>
      <c r="C33" s="10">
        <v>132</v>
      </c>
      <c r="D33" s="10">
        <f t="shared" si="12"/>
        <v>129.54529855941519</v>
      </c>
      <c r="E33" s="10">
        <f t="shared" si="13"/>
        <v>2.4547014405848131</v>
      </c>
      <c r="F33" s="10">
        <f t="shared" si="14"/>
        <v>6.0255591624091567</v>
      </c>
      <c r="I33" s="10">
        <v>12.5</v>
      </c>
      <c r="J33" s="10">
        <v>116.33336666666666</v>
      </c>
      <c r="K33" s="10">
        <f t="shared" si="15"/>
        <v>128.67877995183849</v>
      </c>
      <c r="L33" s="10">
        <f t="shared" si="16"/>
        <v>-12.34541328517183</v>
      </c>
      <c r="M33" s="10">
        <f t="shared" si="17"/>
        <v>152.4092291816971</v>
      </c>
      <c r="P33" s="10">
        <v>12.5</v>
      </c>
      <c r="Q33" s="10">
        <v>81.666633333333337</v>
      </c>
      <c r="R33" s="10">
        <f t="shared" si="18"/>
        <v>80.909942456580737</v>
      </c>
      <c r="S33" s="10">
        <f t="shared" si="19"/>
        <v>0.75669087675260016</v>
      </c>
      <c r="T33" s="10">
        <f t="shared" si="20"/>
        <v>0.57258108296061871</v>
      </c>
      <c r="W33" s="10">
        <v>12.5</v>
      </c>
      <c r="X33" s="10">
        <v>43.333366666666663</v>
      </c>
      <c r="Y33" s="10">
        <f t="shared" si="21"/>
        <v>51.175444080633071</v>
      </c>
      <c r="Z33" s="10">
        <f t="shared" si="22"/>
        <v>-7.8420774139664076</v>
      </c>
      <c r="AA33" s="10">
        <f t="shared" si="23"/>
        <v>61.498178166642056</v>
      </c>
    </row>
    <row r="34" spans="1:27">
      <c r="B34" s="10">
        <v>25</v>
      </c>
      <c r="C34" s="10">
        <v>168</v>
      </c>
      <c r="D34" s="10">
        <f t="shared" si="12"/>
        <v>164.62277306624912</v>
      </c>
      <c r="E34" s="10">
        <f t="shared" si="13"/>
        <v>3.377226933750876</v>
      </c>
      <c r="F34" s="10">
        <f t="shared" si="14"/>
        <v>11.405661762052343</v>
      </c>
      <c r="I34" s="10">
        <v>25</v>
      </c>
      <c r="J34" s="10">
        <v>166.33336666666668</v>
      </c>
      <c r="K34" s="10">
        <f t="shared" si="15"/>
        <v>165.83100749257835</v>
      </c>
      <c r="L34" s="10">
        <f t="shared" si="16"/>
        <v>0.5023591740883262</v>
      </c>
      <c r="M34" s="10">
        <f t="shared" si="17"/>
        <v>0.25236473979070523</v>
      </c>
      <c r="P34" s="10">
        <v>25</v>
      </c>
      <c r="Q34" s="10">
        <v>119.66663333333334</v>
      </c>
      <c r="R34" s="10">
        <f t="shared" si="18"/>
        <v>116.97668852468983</v>
      </c>
      <c r="S34" s="10">
        <f t="shared" si="19"/>
        <v>2.6899448086435029</v>
      </c>
      <c r="T34" s="10">
        <f t="shared" si="20"/>
        <v>7.2358030735481318</v>
      </c>
      <c r="W34" s="10">
        <v>25</v>
      </c>
      <c r="X34" s="10">
        <v>86.000033333333349</v>
      </c>
      <c r="Y34" s="10">
        <f t="shared" si="21"/>
        <v>81.643835694032589</v>
      </c>
      <c r="Z34" s="10">
        <f t="shared" si="22"/>
        <v>4.3561976393007598</v>
      </c>
      <c r="AA34" s="10">
        <f t="shared" si="23"/>
        <v>18.976457872649512</v>
      </c>
    </row>
    <row r="35" spans="1:27">
      <c r="B35" s="10">
        <v>50</v>
      </c>
      <c r="C35" s="10">
        <v>210</v>
      </c>
      <c r="D35" s="10">
        <f t="shared" si="12"/>
        <v>190.0790755991776</v>
      </c>
      <c r="E35" s="10">
        <f t="shared" si="13"/>
        <v>19.9209244008224</v>
      </c>
      <c r="F35" s="10">
        <f t="shared" si="14"/>
        <v>396.84322898328134</v>
      </c>
      <c r="I35" s="10">
        <v>50</v>
      </c>
      <c r="J35" s="10">
        <v>204.00003333333331</v>
      </c>
      <c r="K35" s="10">
        <f t="shared" si="15"/>
        <v>193.14514246948121</v>
      </c>
      <c r="L35" s="10">
        <f t="shared" si="16"/>
        <v>10.854890863852091</v>
      </c>
      <c r="M35" s="10">
        <f t="shared" si="17"/>
        <v>117.8286556661396</v>
      </c>
      <c r="P35" s="10">
        <v>50</v>
      </c>
      <c r="Q35" s="10">
        <v>139.33330000000001</v>
      </c>
      <c r="R35" s="10">
        <f t="shared" si="18"/>
        <v>149.20872055326859</v>
      </c>
      <c r="S35" s="10">
        <f t="shared" si="19"/>
        <v>-9.875420553268583</v>
      </c>
      <c r="T35" s="10">
        <f t="shared" si="20"/>
        <v>97.523931103919566</v>
      </c>
      <c r="W35" s="10">
        <v>50</v>
      </c>
      <c r="X35" s="10">
        <v>109.33336666666666</v>
      </c>
      <c r="Y35" s="10">
        <f t="shared" si="21"/>
        <v>114.07089760811648</v>
      </c>
      <c r="Z35" s="10">
        <f t="shared" si="22"/>
        <v>-4.737530941449819</v>
      </c>
      <c r="AA35" s="10">
        <f t="shared" si="23"/>
        <v>22.444199421194408</v>
      </c>
    </row>
    <row r="36" spans="1:27">
      <c r="B36" s="10">
        <v>100</v>
      </c>
      <c r="C36" s="10">
        <v>210.33333333333331</v>
      </c>
      <c r="D36" s="10">
        <f t="shared" si="12"/>
        <v>205.85890607218181</v>
      </c>
      <c r="E36" s="10">
        <f t="shared" si="13"/>
        <v>4.4744272611515044</v>
      </c>
      <c r="F36" s="10">
        <f t="shared" si="14"/>
        <v>20.020499315335751</v>
      </c>
      <c r="I36" s="10">
        <v>100</v>
      </c>
      <c r="J36" s="10">
        <v>222.66669999999999</v>
      </c>
      <c r="K36" s="10">
        <f t="shared" si="15"/>
        <v>210.16511063137509</v>
      </c>
      <c r="L36" s="10">
        <f t="shared" si="16"/>
        <v>12.501589368624906</v>
      </c>
      <c r="M36" s="10">
        <f t="shared" si="17"/>
        <v>156.28973674171527</v>
      </c>
      <c r="P36" s="10">
        <v>100</v>
      </c>
      <c r="Q36" s="10">
        <v>176.33330000000001</v>
      </c>
      <c r="R36" s="10">
        <f t="shared" si="18"/>
        <v>172.14055192965191</v>
      </c>
      <c r="S36" s="10">
        <f t="shared" si="19"/>
        <v>4.1927480703481024</v>
      </c>
      <c r="T36" s="10">
        <f t="shared" si="20"/>
        <v>17.579136381407736</v>
      </c>
      <c r="W36" s="10">
        <v>100</v>
      </c>
      <c r="X36" s="10">
        <v>157.66669999999999</v>
      </c>
      <c r="Y36" s="10">
        <f t="shared" si="21"/>
        <v>140.10678130587343</v>
      </c>
      <c r="Z36" s="10">
        <f t="shared" si="22"/>
        <v>17.559918694126566</v>
      </c>
      <c r="AA36" s="10">
        <f t="shared" si="23"/>
        <v>308.35074454433561</v>
      </c>
    </row>
    <row r="37" spans="1:27">
      <c r="B37" s="10">
        <v>200</v>
      </c>
      <c r="C37" s="10">
        <v>198</v>
      </c>
      <c r="D37" s="10">
        <f t="shared" si="12"/>
        <v>214.72187324207587</v>
      </c>
      <c r="E37" s="10">
        <f t="shared" si="13"/>
        <v>-16.721873242075873</v>
      </c>
      <c r="F37" s="10">
        <f t="shared" si="14"/>
        <v>279.62104472405304</v>
      </c>
      <c r="I37" s="10">
        <v>200</v>
      </c>
      <c r="J37" s="10">
        <v>214.33336666666668</v>
      </c>
      <c r="K37" s="10">
        <f t="shared" si="15"/>
        <v>219.74020954269258</v>
      </c>
      <c r="L37" s="10">
        <f t="shared" si="16"/>
        <v>-5.4068428760259053</v>
      </c>
      <c r="M37" s="10">
        <f t="shared" si="17"/>
        <v>29.233949886032082</v>
      </c>
      <c r="P37" s="10">
        <v>200</v>
      </c>
      <c r="Q37" s="10">
        <v>194.99996666666669</v>
      </c>
      <c r="R37" s="10">
        <f t="shared" si="18"/>
        <v>186.06245721553668</v>
      </c>
      <c r="S37" s="10">
        <f t="shared" si="19"/>
        <v>8.9375094511300119</v>
      </c>
      <c r="T37" s="10">
        <f t="shared" si="20"/>
        <v>79.879075189038289</v>
      </c>
      <c r="W37" s="10">
        <v>200</v>
      </c>
      <c r="X37" s="10">
        <v>166.33336666666668</v>
      </c>
      <c r="Y37" s="10">
        <f t="shared" si="21"/>
        <v>156.89429595982298</v>
      </c>
      <c r="Z37" s="10">
        <f t="shared" si="22"/>
        <v>9.4390707068436939</v>
      </c>
      <c r="AA37" s="10">
        <f t="shared" si="23"/>
        <v>89.096055808794716</v>
      </c>
    </row>
    <row r="38" spans="1:27" ht="16">
      <c r="B38" s="13">
        <v>400</v>
      </c>
      <c r="C38" s="10">
        <v>216</v>
      </c>
      <c r="D38" s="10">
        <f t="shared" si="12"/>
        <v>219.43027117793699</v>
      </c>
      <c r="E38" s="10">
        <f t="shared" si="13"/>
        <v>-3.4302711779369872</v>
      </c>
      <c r="F38" s="10">
        <f t="shared" si="14"/>
        <v>11.766760354185205</v>
      </c>
      <c r="I38" s="13">
        <v>400</v>
      </c>
      <c r="J38" s="10">
        <v>215.00003333333331</v>
      </c>
      <c r="K38" s="10">
        <f t="shared" si="15"/>
        <v>224.82900962737386</v>
      </c>
      <c r="L38" s="10">
        <f t="shared" si="16"/>
        <v>-9.8289762940405581</v>
      </c>
      <c r="M38" s="10">
        <f t="shared" si="17"/>
        <v>96.608774988811263</v>
      </c>
      <c r="P38" s="13">
        <v>400</v>
      </c>
      <c r="Q38" s="10">
        <v>186.66663333333332</v>
      </c>
      <c r="R38" s="10">
        <f t="shared" si="18"/>
        <v>193.76437411005756</v>
      </c>
      <c r="S38" s="10">
        <f t="shared" si="19"/>
        <v>-7.0977407767242369</v>
      </c>
      <c r="T38" s="10">
        <f t="shared" si="20"/>
        <v>50.37792413357397</v>
      </c>
      <c r="W38" s="13">
        <v>400</v>
      </c>
      <c r="X38" s="10">
        <v>148.33336666666668</v>
      </c>
      <c r="Y38" s="10">
        <f t="shared" si="21"/>
        <v>166.41146097035201</v>
      </c>
      <c r="Z38" s="10">
        <f t="shared" si="22"/>
        <v>-18.078094303685333</v>
      </c>
      <c r="AA38" s="10">
        <f t="shared" si="23"/>
        <v>326.81749365294007</v>
      </c>
    </row>
    <row r="39" spans="1:27" ht="16">
      <c r="B39" s="10" t="s">
        <v>82</v>
      </c>
      <c r="C39" s="12" t="s">
        <v>81</v>
      </c>
      <c r="D39" s="12" t="s">
        <v>80</v>
      </c>
      <c r="E39" s="12"/>
      <c r="F39" s="10" t="s">
        <v>79</v>
      </c>
      <c r="I39" s="10" t="s">
        <v>82</v>
      </c>
      <c r="J39" s="12" t="s">
        <v>81</v>
      </c>
      <c r="K39" s="12" t="s">
        <v>80</v>
      </c>
      <c r="L39" s="12"/>
      <c r="M39" s="10" t="s">
        <v>79</v>
      </c>
      <c r="P39" s="10" t="s">
        <v>82</v>
      </c>
      <c r="Q39" s="12" t="s">
        <v>81</v>
      </c>
      <c r="R39" s="12" t="s">
        <v>80</v>
      </c>
      <c r="S39" s="12"/>
      <c r="T39" s="10" t="s">
        <v>79</v>
      </c>
      <c r="W39" s="10" t="s">
        <v>82</v>
      </c>
      <c r="X39" s="12" t="s">
        <v>81</v>
      </c>
      <c r="Y39" s="12" t="s">
        <v>80</v>
      </c>
      <c r="Z39" s="12"/>
      <c r="AA39" s="10" t="s">
        <v>79</v>
      </c>
    </row>
    <row r="40" spans="1:27" ht="16">
      <c r="B40" s="12">
        <v>8.9354047865682951</v>
      </c>
      <c r="C40" s="12">
        <v>224.33801739339825</v>
      </c>
      <c r="D40" s="12">
        <v>0.5</v>
      </c>
      <c r="E40" s="12"/>
      <c r="F40" s="11">
        <f>SUM(F23:F38)</f>
        <v>1116.2313391996984</v>
      </c>
      <c r="I40" s="12">
        <v>9.4145867417640545</v>
      </c>
      <c r="J40" s="12">
        <v>230.13364606858957</v>
      </c>
      <c r="K40" s="12">
        <v>1</v>
      </c>
      <c r="L40" s="12"/>
      <c r="M40" s="11">
        <f>SUM(M23:M38)</f>
        <v>1919.9225101908796</v>
      </c>
      <c r="P40" s="12">
        <v>16.911525494995203</v>
      </c>
      <c r="Q40" s="12">
        <v>202.01586035370798</v>
      </c>
      <c r="R40" s="12">
        <v>3</v>
      </c>
      <c r="S40" s="12"/>
      <c r="T40" s="11">
        <f>SUM(T23:T38)</f>
        <v>479.58879434476052</v>
      </c>
      <c r="W40" s="12">
        <v>24.273446783817189</v>
      </c>
      <c r="X40" s="12">
        <v>176.72849208627576</v>
      </c>
      <c r="Y40" s="12">
        <v>9</v>
      </c>
      <c r="Z40" s="12"/>
      <c r="AA40" s="11">
        <f>SUM(AA23:AA38)</f>
        <v>1114.4248809707417</v>
      </c>
    </row>
    <row r="42" spans="1:27">
      <c r="A42" s="14"/>
      <c r="B42" s="10" t="s">
        <v>90</v>
      </c>
      <c r="C42" s="10" t="s">
        <v>89</v>
      </c>
      <c r="D42" s="11" t="s">
        <v>88</v>
      </c>
      <c r="E42" s="10" t="s">
        <v>87</v>
      </c>
      <c r="F42" s="10" t="s">
        <v>86</v>
      </c>
      <c r="H42" s="14"/>
      <c r="I42" s="10" t="s">
        <v>90</v>
      </c>
      <c r="J42" s="10" t="s">
        <v>89</v>
      </c>
      <c r="K42" s="10" t="s">
        <v>88</v>
      </c>
      <c r="L42" s="10" t="s">
        <v>87</v>
      </c>
      <c r="M42" s="10" t="s">
        <v>86</v>
      </c>
      <c r="O42" s="14"/>
      <c r="P42" s="10" t="s">
        <v>90</v>
      </c>
      <c r="Q42" s="10" t="s">
        <v>89</v>
      </c>
      <c r="R42" s="10" t="s">
        <v>88</v>
      </c>
      <c r="S42" s="10" t="s">
        <v>87</v>
      </c>
      <c r="T42" s="10" t="s">
        <v>86</v>
      </c>
      <c r="V42" s="14"/>
      <c r="W42" s="10" t="s">
        <v>90</v>
      </c>
      <c r="X42" s="10" t="s">
        <v>89</v>
      </c>
      <c r="Y42" s="10" t="s">
        <v>88</v>
      </c>
      <c r="Z42" s="10" t="s">
        <v>87</v>
      </c>
      <c r="AA42" s="10" t="s">
        <v>86</v>
      </c>
    </row>
    <row r="43" spans="1:27">
      <c r="A43" s="10" t="s">
        <v>97</v>
      </c>
      <c r="B43" s="10">
        <v>1.220703125E-2</v>
      </c>
      <c r="C43" s="10">
        <v>-3.6667000000000058</v>
      </c>
      <c r="D43" s="10">
        <f t="shared" ref="D43:D58" si="24" xml:space="preserve"> (B$60+B43+D$60-((B$60+B43+D$60)^2-4*D$60*B43)^0.5)*C$60/(2*D$60)</f>
        <v>0.27956094508067414</v>
      </c>
      <c r="E43" s="10">
        <f t="shared" ref="E43:E58" si="25">C43-D43</f>
        <v>-3.94626094508068</v>
      </c>
      <c r="F43" s="10">
        <f t="shared" ref="F43:F58" si="26">E43*E43</f>
        <v>15.572975446669062</v>
      </c>
      <c r="H43" s="10" t="s">
        <v>96</v>
      </c>
      <c r="I43" s="10">
        <v>1.220703125E-2</v>
      </c>
      <c r="J43" s="10">
        <v>4</v>
      </c>
      <c r="K43" s="10">
        <f t="shared" ref="K43:K58" si="27" xml:space="preserve"> (I$60+I43+K$60-((I$60+I43+K$60)^2-4*K$60*I43)^0.5)*J$60/(2*K$60)</f>
        <v>0.26697822359767981</v>
      </c>
      <c r="L43" s="10">
        <f t="shared" ref="L43:L58" si="28">J43-K43</f>
        <v>3.7330217764023201</v>
      </c>
      <c r="M43" s="10">
        <f t="shared" ref="M43:M58" si="29">L43*L43</f>
        <v>13.935451583093935</v>
      </c>
      <c r="O43" s="10" t="s">
        <v>95</v>
      </c>
      <c r="P43" s="10">
        <v>1.220703125E-2</v>
      </c>
      <c r="Q43" s="10">
        <v>5</v>
      </c>
      <c r="R43" s="10">
        <f t="shared" ref="R43:R58" si="30" xml:space="preserve"> (P$60+P43+R$60-((P$60+P43+R$60)^2-4*R$60*P43)^0.5)*Q$60/(2*R$60)</f>
        <v>0.14197075993305799</v>
      </c>
      <c r="S43" s="10">
        <f t="shared" ref="S43:S58" si="31">Q43-R43</f>
        <v>4.8580292400669416</v>
      </c>
      <c r="T43" s="10">
        <f t="shared" ref="T43:T58" si="32">S43*S43</f>
        <v>23.600448097345385</v>
      </c>
      <c r="V43" s="10" t="s">
        <v>94</v>
      </c>
      <c r="W43" s="10">
        <v>1.220703125E-2</v>
      </c>
      <c r="X43" s="10">
        <v>-4</v>
      </c>
      <c r="Y43" s="10">
        <f t="shared" ref="Y43:Y58" si="33" xml:space="preserve"> (W$60+W43+Y$60-((W$60+W43+Y$60)^2-4*Y$60*W43)^0.5)*X$60/(2*Y$60)</f>
        <v>7.6595416036019007E-2</v>
      </c>
      <c r="Z43" s="10">
        <f t="shared" ref="Z43:Z58" si="34">X43-Y43</f>
        <v>-4.0765954160360192</v>
      </c>
      <c r="AA43" s="10">
        <f t="shared" ref="AA43:AA58" si="35">Z43*Z43</f>
        <v>16.618630186045884</v>
      </c>
    </row>
    <row r="44" spans="1:27">
      <c r="A44" s="10" t="s">
        <v>99</v>
      </c>
      <c r="B44" s="10">
        <v>2.44140625E-2</v>
      </c>
      <c r="C44" s="10">
        <v>-11.000033333333334</v>
      </c>
      <c r="D44" s="10">
        <f t="shared" si="24"/>
        <v>0.55846301043485647</v>
      </c>
      <c r="E44" s="10">
        <f t="shared" si="25"/>
        <v>-11.558496343768191</v>
      </c>
      <c r="F44" s="10">
        <f t="shared" si="26"/>
        <v>133.59883772890262</v>
      </c>
      <c r="H44" s="10" t="s">
        <v>99</v>
      </c>
      <c r="I44" s="10">
        <v>2.44140625E-2</v>
      </c>
      <c r="J44" s="10">
        <v>6</v>
      </c>
      <c r="K44" s="10">
        <f t="shared" si="27"/>
        <v>0.53337957793658453</v>
      </c>
      <c r="L44" s="10">
        <f t="shared" si="28"/>
        <v>5.4666204220634151</v>
      </c>
      <c r="M44" s="10">
        <f t="shared" si="29"/>
        <v>29.883938838920791</v>
      </c>
      <c r="O44" s="10" t="s">
        <v>99</v>
      </c>
      <c r="P44" s="10">
        <v>2.44140625E-2</v>
      </c>
      <c r="Q44" s="10">
        <v>5.6666666666666714</v>
      </c>
      <c r="R44" s="10">
        <f t="shared" si="30"/>
        <v>0.28378122610106066</v>
      </c>
      <c r="S44" s="10">
        <f t="shared" si="31"/>
        <v>5.3828854405656106</v>
      </c>
      <c r="T44" s="10">
        <f t="shared" si="32"/>
        <v>28.975455666253229</v>
      </c>
      <c r="V44" s="10" t="s">
        <v>99</v>
      </c>
      <c r="W44" s="10">
        <v>2.44140625E-2</v>
      </c>
      <c r="X44" s="10">
        <v>1.3333333333333286</v>
      </c>
      <c r="Y44" s="10">
        <f t="shared" si="33"/>
        <v>0.15314796553298907</v>
      </c>
      <c r="Z44" s="10">
        <f t="shared" si="34"/>
        <v>1.1801853678003396</v>
      </c>
      <c r="AA44" s="10">
        <f t="shared" si="35"/>
        <v>1.3928375023700228</v>
      </c>
    </row>
    <row r="45" spans="1:27">
      <c r="B45" s="10">
        <v>4.8828125E-2</v>
      </c>
      <c r="C45" s="10">
        <v>4.3332999999999942</v>
      </c>
      <c r="D45" s="10">
        <f t="shared" si="24"/>
        <v>1.1142993027078603</v>
      </c>
      <c r="E45" s="10">
        <f t="shared" si="25"/>
        <v>3.2190006972921337</v>
      </c>
      <c r="F45" s="10">
        <f t="shared" si="26"/>
        <v>10.361965489167243</v>
      </c>
      <c r="I45" s="10">
        <v>4.8828125E-2</v>
      </c>
      <c r="J45" s="10">
        <v>6</v>
      </c>
      <c r="K45" s="10">
        <f t="shared" si="27"/>
        <v>1.0644583345378085</v>
      </c>
      <c r="L45" s="10">
        <f t="shared" si="28"/>
        <v>4.9355416654621918</v>
      </c>
      <c r="M45" s="10">
        <f t="shared" si="29"/>
        <v>24.359571531513307</v>
      </c>
      <c r="P45" s="10">
        <v>4.8828125E-2</v>
      </c>
      <c r="Q45" s="10">
        <v>6</v>
      </c>
      <c r="R45" s="10">
        <f t="shared" si="30"/>
        <v>0.56692214591960999</v>
      </c>
      <c r="S45" s="10">
        <f t="shared" si="31"/>
        <v>5.4330778540803903</v>
      </c>
      <c r="T45" s="10">
        <f t="shared" si="32"/>
        <v>29.518334968498781</v>
      </c>
      <c r="V45" s="10" t="s">
        <v>93</v>
      </c>
      <c r="W45" s="10">
        <v>4.8828125E-2</v>
      </c>
      <c r="X45" s="10">
        <v>-3.6666666666666714</v>
      </c>
      <c r="Y45" s="10">
        <f t="shared" si="33"/>
        <v>0.30612454982667803</v>
      </c>
      <c r="Z45" s="10">
        <f t="shared" si="34"/>
        <v>-3.9727912164933494</v>
      </c>
      <c r="AA45" s="10">
        <f t="shared" si="35"/>
        <v>15.783070049846707</v>
      </c>
    </row>
    <row r="46" spans="1:27">
      <c r="B46" s="10">
        <v>9.765625E-2</v>
      </c>
      <c r="C46" s="10">
        <v>-5.6667000000000058</v>
      </c>
      <c r="D46" s="10">
        <f t="shared" si="24"/>
        <v>2.2181616247157709</v>
      </c>
      <c r="E46" s="10">
        <f t="shared" si="25"/>
        <v>-7.8848616247157768</v>
      </c>
      <c r="F46" s="10">
        <f t="shared" si="26"/>
        <v>62.171042840915518</v>
      </c>
      <c r="I46" s="10">
        <v>9.765625E-2</v>
      </c>
      <c r="J46" s="10">
        <v>14.666666666666671</v>
      </c>
      <c r="K46" s="10">
        <f t="shared" si="27"/>
        <v>2.1197663205544908</v>
      </c>
      <c r="L46" s="10">
        <f t="shared" si="28"/>
        <v>12.546900346112182</v>
      </c>
      <c r="M46" s="10">
        <f t="shared" si="29"/>
        <v>157.42470829526999</v>
      </c>
      <c r="P46" s="10">
        <v>9.765625E-2</v>
      </c>
      <c r="Q46" s="10">
        <v>1.3333333333333286</v>
      </c>
      <c r="R46" s="10">
        <f t="shared" si="30"/>
        <v>1.1312900017907888</v>
      </c>
      <c r="S46" s="10">
        <f t="shared" si="31"/>
        <v>0.20204333154253984</v>
      </c>
      <c r="T46" s="10">
        <f t="shared" si="32"/>
        <v>4.0821507820808671E-2</v>
      </c>
      <c r="W46" s="10">
        <v>9.765625E-2</v>
      </c>
      <c r="X46" s="10">
        <v>1.3333333333333286</v>
      </c>
      <c r="Y46" s="10">
        <f t="shared" si="33"/>
        <v>0.61156425416798554</v>
      </c>
      <c r="Z46" s="10">
        <f t="shared" si="34"/>
        <v>0.72176907916534305</v>
      </c>
      <c r="AA46" s="10">
        <f t="shared" si="35"/>
        <v>0.52095060363918722</v>
      </c>
    </row>
    <row r="47" spans="1:27">
      <c r="B47" s="10">
        <v>0.1953125</v>
      </c>
      <c r="C47" s="10">
        <v>-7.0000333333333344</v>
      </c>
      <c r="D47" s="10">
        <f t="shared" si="24"/>
        <v>4.3951263569843917</v>
      </c>
      <c r="E47" s="10">
        <f t="shared" si="25"/>
        <v>-11.395159690317726</v>
      </c>
      <c r="F47" s="10">
        <f t="shared" si="26"/>
        <v>129.84966436784197</v>
      </c>
      <c r="I47" s="10">
        <v>0.1953125</v>
      </c>
      <c r="J47" s="10">
        <v>-5.3333333333333286</v>
      </c>
      <c r="K47" s="10">
        <f t="shared" si="27"/>
        <v>4.203349849798621</v>
      </c>
      <c r="L47" s="10">
        <f t="shared" si="28"/>
        <v>-9.5366831831319487</v>
      </c>
      <c r="M47" s="10">
        <f t="shared" si="29"/>
        <v>90.948326135431714</v>
      </c>
      <c r="P47" s="10">
        <v>0.1953125</v>
      </c>
      <c r="Q47" s="10">
        <v>8</v>
      </c>
      <c r="R47" s="10">
        <f t="shared" si="30"/>
        <v>2.252418081858</v>
      </c>
      <c r="S47" s="10">
        <f t="shared" si="31"/>
        <v>5.747581918142</v>
      </c>
      <c r="T47" s="10">
        <f t="shared" si="32"/>
        <v>33.034697905752871</v>
      </c>
      <c r="W47" s="10">
        <v>0.1953125</v>
      </c>
      <c r="X47" s="10">
        <v>6.3333333333333286</v>
      </c>
      <c r="Y47" s="10">
        <f t="shared" si="33"/>
        <v>1.2203945642959984</v>
      </c>
      <c r="Z47" s="10">
        <f t="shared" si="34"/>
        <v>5.1129387690373305</v>
      </c>
      <c r="AA47" s="10">
        <f t="shared" si="35"/>
        <v>26.142142855924973</v>
      </c>
    </row>
    <row r="48" spans="1:27">
      <c r="B48" s="10">
        <v>0.390625</v>
      </c>
      <c r="C48" s="10">
        <v>5.3332999999999942</v>
      </c>
      <c r="D48" s="10">
        <f t="shared" si="24"/>
        <v>8.6297474014766085</v>
      </c>
      <c r="E48" s="10">
        <f t="shared" si="25"/>
        <v>-3.2964474014766143</v>
      </c>
      <c r="F48" s="10">
        <f t="shared" si="26"/>
        <v>10.866565470701923</v>
      </c>
      <c r="I48" s="10">
        <v>0.390625</v>
      </c>
      <c r="J48" s="10">
        <v>-15</v>
      </c>
      <c r="K48" s="10">
        <f t="shared" si="27"/>
        <v>8.2652406263617717</v>
      </c>
      <c r="L48" s="10">
        <f t="shared" si="28"/>
        <v>-23.265240626361773</v>
      </c>
      <c r="M48" s="10">
        <f t="shared" si="29"/>
        <v>541.27142140251442</v>
      </c>
      <c r="P48" s="10">
        <v>0.390625</v>
      </c>
      <c r="Q48" s="10">
        <v>5.6666666666666714</v>
      </c>
      <c r="R48" s="10">
        <f t="shared" si="30"/>
        <v>4.4646265159513883</v>
      </c>
      <c r="S48" s="10">
        <f t="shared" si="31"/>
        <v>1.2020401507152831</v>
      </c>
      <c r="T48" s="10">
        <f t="shared" si="32"/>
        <v>1.4449005239316206</v>
      </c>
      <c r="W48" s="10">
        <v>0.390625</v>
      </c>
      <c r="X48" s="10">
        <v>7</v>
      </c>
      <c r="Y48" s="10">
        <f t="shared" si="33"/>
        <v>2.4298968871624722</v>
      </c>
      <c r="Z48" s="10">
        <f t="shared" si="34"/>
        <v>4.5701031128375273</v>
      </c>
      <c r="AA48" s="10">
        <f t="shared" si="35"/>
        <v>20.885842461967258</v>
      </c>
    </row>
    <row r="49" spans="1:27">
      <c r="B49" s="10">
        <v>0.78125</v>
      </c>
      <c r="C49" s="10">
        <v>9.3332999999999942</v>
      </c>
      <c r="D49" s="10">
        <f t="shared" si="24"/>
        <v>16.64982797048312</v>
      </c>
      <c r="E49" s="10">
        <f t="shared" si="25"/>
        <v>-7.3165279704831256</v>
      </c>
      <c r="F49" s="10">
        <f t="shared" si="26"/>
        <v>53.531581542861929</v>
      </c>
      <c r="I49" s="10">
        <v>0.78125</v>
      </c>
      <c r="J49" s="10">
        <v>10.333333333333329</v>
      </c>
      <c r="K49" s="10">
        <f t="shared" si="27"/>
        <v>15.989642060289883</v>
      </c>
      <c r="L49" s="10">
        <f t="shared" si="28"/>
        <v>-5.6563087269565546</v>
      </c>
      <c r="M49" s="10">
        <f t="shared" si="29"/>
        <v>31.993828414644881</v>
      </c>
      <c r="P49" s="10">
        <v>0.78125</v>
      </c>
      <c r="Q49" s="10">
        <v>10.666666666666671</v>
      </c>
      <c r="R49" s="10">
        <f t="shared" si="30"/>
        <v>8.7718570976053662</v>
      </c>
      <c r="S49" s="10">
        <f t="shared" si="31"/>
        <v>1.8948095690613052</v>
      </c>
      <c r="T49" s="10">
        <f t="shared" si="32"/>
        <v>3.590303303006289</v>
      </c>
      <c r="W49" s="10">
        <v>0.78125</v>
      </c>
      <c r="X49" s="10">
        <v>6.6666666666666714</v>
      </c>
      <c r="Y49" s="10">
        <f t="shared" si="33"/>
        <v>4.8165735119658093</v>
      </c>
      <c r="Z49" s="10">
        <f t="shared" si="34"/>
        <v>1.8500931547008621</v>
      </c>
      <c r="AA49" s="10">
        <f t="shared" si="35"/>
        <v>3.422844681070988</v>
      </c>
    </row>
    <row r="50" spans="1:27">
      <c r="B50" s="10">
        <v>1.5625</v>
      </c>
      <c r="C50" s="10">
        <v>24.333299999999994</v>
      </c>
      <c r="D50" s="10">
        <f t="shared" si="24"/>
        <v>31.092591956518028</v>
      </c>
      <c r="E50" s="10">
        <f t="shared" si="25"/>
        <v>-6.7592919565180338</v>
      </c>
      <c r="F50" s="10">
        <f t="shared" si="26"/>
        <v>45.68802775344939</v>
      </c>
      <c r="I50" s="10">
        <v>1.5625</v>
      </c>
      <c r="J50" s="10">
        <v>31</v>
      </c>
      <c r="K50" s="10">
        <f t="shared" si="27"/>
        <v>29.998488330220002</v>
      </c>
      <c r="L50" s="10">
        <f t="shared" si="28"/>
        <v>1.0015116697799975</v>
      </c>
      <c r="M50" s="10">
        <f t="shared" si="29"/>
        <v>1.0030256247055187</v>
      </c>
      <c r="P50" s="10">
        <v>1.5625</v>
      </c>
      <c r="Q50" s="10">
        <v>11.666666666666671</v>
      </c>
      <c r="R50" s="10">
        <f t="shared" si="30"/>
        <v>16.940695392224448</v>
      </c>
      <c r="S50" s="10">
        <f t="shared" si="31"/>
        <v>-5.2740287255577769</v>
      </c>
      <c r="T50" s="10">
        <f t="shared" si="32"/>
        <v>27.815378998008587</v>
      </c>
      <c r="W50" s="10">
        <v>1.5625</v>
      </c>
      <c r="X50" s="10">
        <v>5.6666666666666714</v>
      </c>
      <c r="Y50" s="10">
        <f t="shared" si="33"/>
        <v>9.463059959673366</v>
      </c>
      <c r="Z50" s="10">
        <f t="shared" si="34"/>
        <v>-3.7963932930066946</v>
      </c>
      <c r="AA50" s="10">
        <f t="shared" si="35"/>
        <v>14.412602035186215</v>
      </c>
    </row>
    <row r="51" spans="1:27">
      <c r="B51" s="10">
        <v>3.125</v>
      </c>
      <c r="C51" s="10">
        <v>44.333299999999994</v>
      </c>
      <c r="D51" s="10">
        <f t="shared" si="24"/>
        <v>54.858077935450439</v>
      </c>
      <c r="E51" s="10">
        <f t="shared" si="25"/>
        <v>-10.524777935450444</v>
      </c>
      <c r="F51" s="10">
        <f t="shared" si="26"/>
        <v>110.77095059054452</v>
      </c>
      <c r="I51" s="10">
        <v>3.125</v>
      </c>
      <c r="J51" s="10">
        <v>39.333333333333329</v>
      </c>
      <c r="K51" s="10">
        <f t="shared" si="27"/>
        <v>53.297129456139785</v>
      </c>
      <c r="L51" s="10">
        <f t="shared" si="28"/>
        <v>-13.963796122806457</v>
      </c>
      <c r="M51" s="10">
        <f t="shared" si="29"/>
        <v>194.98760215930463</v>
      </c>
      <c r="P51" s="10">
        <v>3.125</v>
      </c>
      <c r="Q51" s="10">
        <v>27.666666666666671</v>
      </c>
      <c r="R51" s="10">
        <f t="shared" si="30"/>
        <v>31.666665939044616</v>
      </c>
      <c r="S51" s="10">
        <f t="shared" si="31"/>
        <v>-3.9999992723779449</v>
      </c>
      <c r="T51" s="10">
        <f t="shared" si="32"/>
        <v>15.999994179024089</v>
      </c>
      <c r="W51" s="10">
        <v>3.125</v>
      </c>
      <c r="X51" s="10">
        <v>11.666666666666671</v>
      </c>
      <c r="Y51" s="10">
        <f t="shared" si="33"/>
        <v>18.268119520791302</v>
      </c>
      <c r="Z51" s="10">
        <f t="shared" si="34"/>
        <v>-6.6014528541246307</v>
      </c>
      <c r="AA51" s="10">
        <f t="shared" si="35"/>
        <v>43.579179785230231</v>
      </c>
    </row>
    <row r="52" spans="1:27">
      <c r="B52" s="10">
        <v>6.25</v>
      </c>
      <c r="C52" s="10">
        <v>75.999966666666651</v>
      </c>
      <c r="D52" s="10">
        <f t="shared" si="24"/>
        <v>88.620615514568968</v>
      </c>
      <c r="E52" s="10">
        <f t="shared" si="25"/>
        <v>-12.620648847902316</v>
      </c>
      <c r="F52" s="10">
        <f t="shared" si="26"/>
        <v>159.28077734205806</v>
      </c>
      <c r="I52" s="10">
        <v>6.25</v>
      </c>
      <c r="J52" s="10">
        <v>82.333333333333343</v>
      </c>
      <c r="K52" s="10">
        <f t="shared" si="27"/>
        <v>86.814505999744924</v>
      </c>
      <c r="L52" s="10">
        <f t="shared" si="28"/>
        <v>-4.481172666411581</v>
      </c>
      <c r="M52" s="10">
        <f t="shared" si="29"/>
        <v>20.080908466194277</v>
      </c>
      <c r="P52" s="10">
        <v>6.25</v>
      </c>
      <c r="Q52" s="10">
        <v>62.333333333333343</v>
      </c>
      <c r="R52" s="10">
        <f t="shared" si="30"/>
        <v>55.830015576184302</v>
      </c>
      <c r="S52" s="10">
        <f t="shared" si="31"/>
        <v>6.5033177571490413</v>
      </c>
      <c r="T52" s="10">
        <f t="shared" si="32"/>
        <v>42.293141850450034</v>
      </c>
      <c r="W52" s="10">
        <v>6.25</v>
      </c>
      <c r="X52" s="10">
        <v>36.666666666666671</v>
      </c>
      <c r="Y52" s="10">
        <f t="shared" si="33"/>
        <v>34.080897609446104</v>
      </c>
      <c r="Z52" s="10">
        <f t="shared" si="34"/>
        <v>2.5857690572205669</v>
      </c>
      <c r="AA52" s="10">
        <f t="shared" si="35"/>
        <v>6.6862016172793393</v>
      </c>
    </row>
    <row r="53" spans="1:27">
      <c r="B53" s="10">
        <v>12.5</v>
      </c>
      <c r="C53" s="10">
        <v>130.66663333333332</v>
      </c>
      <c r="D53" s="10">
        <f t="shared" si="24"/>
        <v>127.64559892571154</v>
      </c>
      <c r="E53" s="10">
        <f t="shared" si="25"/>
        <v>3.0210344076217837</v>
      </c>
      <c r="F53" s="10">
        <f t="shared" si="26"/>
        <v>9.1266488920347015</v>
      </c>
      <c r="I53" s="10">
        <v>12.5</v>
      </c>
      <c r="J53" s="10">
        <v>129.66666666666666</v>
      </c>
      <c r="K53" s="10">
        <f t="shared" si="27"/>
        <v>125.91399088120582</v>
      </c>
      <c r="L53" s="10">
        <f t="shared" si="28"/>
        <v>3.7526757854608377</v>
      </c>
      <c r="M53" s="10">
        <f t="shared" si="29"/>
        <v>14.082575550784115</v>
      </c>
      <c r="P53" s="10">
        <v>12.5</v>
      </c>
      <c r="Q53" s="10">
        <v>79</v>
      </c>
      <c r="R53" s="10">
        <f t="shared" si="30"/>
        <v>89.628140245706945</v>
      </c>
      <c r="S53" s="10">
        <f t="shared" si="31"/>
        <v>-10.628140245706945</v>
      </c>
      <c r="T53" s="10">
        <f t="shared" si="32"/>
        <v>112.95736508241568</v>
      </c>
      <c r="W53" s="10">
        <v>12.5</v>
      </c>
      <c r="X53" s="10">
        <v>48.666666666666657</v>
      </c>
      <c r="Y53" s="10">
        <f t="shared" si="33"/>
        <v>59.672269039577955</v>
      </c>
      <c r="Z53" s="10">
        <f t="shared" si="34"/>
        <v>-11.005602372911298</v>
      </c>
      <c r="AA53" s="10">
        <f t="shared" si="35"/>
        <v>121.12328359063079</v>
      </c>
    </row>
    <row r="54" spans="1:27">
      <c r="B54" s="10">
        <v>25</v>
      </c>
      <c r="C54" s="10">
        <v>178.66663333333332</v>
      </c>
      <c r="D54" s="10">
        <f t="shared" si="24"/>
        <v>163.23748219252448</v>
      </c>
      <c r="E54" s="10">
        <f t="shared" si="25"/>
        <v>15.429151140808841</v>
      </c>
      <c r="F54" s="10">
        <f t="shared" si="26"/>
        <v>238.05870492592277</v>
      </c>
      <c r="I54" s="10">
        <v>25</v>
      </c>
      <c r="J54" s="10">
        <v>171.33333333333334</v>
      </c>
      <c r="K54" s="10">
        <f t="shared" si="27"/>
        <v>161.60879538524105</v>
      </c>
      <c r="L54" s="10">
        <f t="shared" si="28"/>
        <v>9.7245379480922907</v>
      </c>
      <c r="M54" s="10">
        <f t="shared" si="29"/>
        <v>94.566638303887018</v>
      </c>
      <c r="P54" s="10">
        <v>25</v>
      </c>
      <c r="Q54" s="10">
        <v>137.33333333333334</v>
      </c>
      <c r="R54" s="10">
        <f t="shared" si="30"/>
        <v>127.19181296388989</v>
      </c>
      <c r="S54" s="10">
        <f t="shared" si="31"/>
        <v>10.141520369443455</v>
      </c>
      <c r="T54" s="10">
        <f t="shared" si="32"/>
        <v>102.85043540383651</v>
      </c>
      <c r="W54" s="10">
        <v>25</v>
      </c>
      <c r="X54" s="10">
        <v>99.666666666666657</v>
      </c>
      <c r="Y54" s="10">
        <f t="shared" si="33"/>
        <v>94.104827989315311</v>
      </c>
      <c r="Z54" s="10">
        <f t="shared" si="34"/>
        <v>5.5618386773513464</v>
      </c>
      <c r="AA54" s="10">
        <f t="shared" si="35"/>
        <v>30.934049472881373</v>
      </c>
    </row>
    <row r="55" spans="1:27">
      <c r="B55" s="10">
        <v>50</v>
      </c>
      <c r="C55" s="10">
        <v>218.33330000000001</v>
      </c>
      <c r="D55" s="10">
        <f t="shared" si="24"/>
        <v>189.3624718085843</v>
      </c>
      <c r="E55" s="10">
        <f t="shared" si="25"/>
        <v>28.970828191415706</v>
      </c>
      <c r="F55" s="10">
        <f t="shared" si="26"/>
        <v>839.30888609652698</v>
      </c>
      <c r="I55" s="10">
        <v>50</v>
      </c>
      <c r="J55" s="10">
        <v>203</v>
      </c>
      <c r="K55" s="10">
        <f t="shared" si="27"/>
        <v>187.65239319248911</v>
      </c>
      <c r="L55" s="10">
        <f t="shared" si="28"/>
        <v>15.347606807510886</v>
      </c>
      <c r="M55" s="10">
        <f t="shared" si="29"/>
        <v>235.54903471795447</v>
      </c>
      <c r="P55" s="10">
        <v>50</v>
      </c>
      <c r="Q55" s="10">
        <v>150.33333333333334</v>
      </c>
      <c r="R55" s="10">
        <f t="shared" si="30"/>
        <v>159.40704869990222</v>
      </c>
      <c r="S55" s="10">
        <f t="shared" si="31"/>
        <v>-9.0737153665688766</v>
      </c>
      <c r="T55" s="10">
        <f t="shared" si="32"/>
        <v>82.332310553508165</v>
      </c>
      <c r="W55" s="10">
        <v>50</v>
      </c>
      <c r="X55" s="10">
        <v>122.33333333333334</v>
      </c>
      <c r="Y55" s="10">
        <f t="shared" si="33"/>
        <v>129.52672848465167</v>
      </c>
      <c r="Z55" s="10">
        <f t="shared" si="34"/>
        <v>-7.1933951513183274</v>
      </c>
      <c r="AA55" s="10">
        <f t="shared" si="35"/>
        <v>51.744933803010021</v>
      </c>
    </row>
    <row r="56" spans="1:27">
      <c r="B56" s="10">
        <v>100</v>
      </c>
      <c r="C56" s="10">
        <v>202.66663333333332</v>
      </c>
      <c r="D56" s="10">
        <f t="shared" si="24"/>
        <v>205.68322389340707</v>
      </c>
      <c r="E56" s="10">
        <f t="shared" si="25"/>
        <v>-3.0165905600737517</v>
      </c>
      <c r="F56" s="10">
        <f t="shared" si="26"/>
        <v>9.0998186071260712</v>
      </c>
      <c r="I56" s="10">
        <v>100</v>
      </c>
      <c r="J56" s="10">
        <v>207.33333333333331</v>
      </c>
      <c r="K56" s="10">
        <f t="shared" si="27"/>
        <v>203.79621966377238</v>
      </c>
      <c r="L56" s="10">
        <f t="shared" si="28"/>
        <v>3.537113669560938</v>
      </c>
      <c r="M56" s="10">
        <f t="shared" si="29"/>
        <v>12.511173111394845</v>
      </c>
      <c r="P56" s="10">
        <v>100</v>
      </c>
      <c r="Q56" s="10">
        <v>191.66666666666669</v>
      </c>
      <c r="R56" s="10">
        <f t="shared" si="30"/>
        <v>181.56445469712159</v>
      </c>
      <c r="S56" s="10">
        <f t="shared" si="31"/>
        <v>10.102211969545095</v>
      </c>
      <c r="T56" s="10">
        <f t="shared" si="32"/>
        <v>102.0546866776202</v>
      </c>
      <c r="W56" s="10">
        <v>100</v>
      </c>
      <c r="X56" s="10">
        <v>172.66666666666666</v>
      </c>
      <c r="Y56" s="10">
        <f t="shared" si="33"/>
        <v>156.95764588338454</v>
      </c>
      <c r="Z56" s="10">
        <f t="shared" si="34"/>
        <v>15.709020783282114</v>
      </c>
      <c r="AA56" s="10">
        <f t="shared" si="35"/>
        <v>246.7733339695894</v>
      </c>
    </row>
    <row r="57" spans="1:27">
      <c r="B57" s="10">
        <v>200</v>
      </c>
      <c r="C57" s="10">
        <v>198.99996666666669</v>
      </c>
      <c r="D57" s="10">
        <f t="shared" si="24"/>
        <v>214.89261227754977</v>
      </c>
      <c r="E57" s="10">
        <f t="shared" si="25"/>
        <v>-15.892645610883079</v>
      </c>
      <c r="F57" s="10">
        <f t="shared" si="26"/>
        <v>252.57618451312121</v>
      </c>
      <c r="I57" s="10">
        <v>200</v>
      </c>
      <c r="J57" s="10">
        <v>199.66666666666669</v>
      </c>
      <c r="K57" s="10">
        <f t="shared" si="27"/>
        <v>212.85038551738339</v>
      </c>
      <c r="L57" s="10">
        <f t="shared" si="28"/>
        <v>-13.183718850716701</v>
      </c>
      <c r="M57" s="10">
        <f t="shared" si="29"/>
        <v>173.81044273474291</v>
      </c>
      <c r="P57" s="10">
        <v>200</v>
      </c>
      <c r="Q57" s="10">
        <v>201</v>
      </c>
      <c r="R57" s="10">
        <f t="shared" si="30"/>
        <v>194.72112641807988</v>
      </c>
      <c r="S57" s="10">
        <f t="shared" si="31"/>
        <v>6.2788735819201236</v>
      </c>
      <c r="T57" s="10">
        <f t="shared" si="32"/>
        <v>39.424253457734444</v>
      </c>
      <c r="W57" s="10">
        <v>200</v>
      </c>
      <c r="X57" s="10">
        <v>182.66666666666669</v>
      </c>
      <c r="Y57" s="10">
        <f t="shared" si="33"/>
        <v>174.17058360682819</v>
      </c>
      <c r="Z57" s="10">
        <f t="shared" si="34"/>
        <v>8.4960830598384973</v>
      </c>
      <c r="AA57" s="10">
        <f t="shared" si="35"/>
        <v>72.183427359674681</v>
      </c>
    </row>
    <row r="58" spans="1:27" ht="16">
      <c r="B58" s="13">
        <v>400</v>
      </c>
      <c r="C58" s="10">
        <v>209.66663333333332</v>
      </c>
      <c r="D58" s="10">
        <f t="shared" si="24"/>
        <v>219.79751572338373</v>
      </c>
      <c r="E58" s="10">
        <f t="shared" si="25"/>
        <v>-10.130882390050402</v>
      </c>
      <c r="F58" s="10">
        <f t="shared" si="26"/>
        <v>102.63477800103335</v>
      </c>
      <c r="I58" s="13">
        <v>400</v>
      </c>
      <c r="J58" s="10">
        <v>211</v>
      </c>
      <c r="K58" s="10">
        <f t="shared" si="27"/>
        <v>217.65422484091536</v>
      </c>
      <c r="L58" s="10">
        <f t="shared" si="28"/>
        <v>-6.6542248409153615</v>
      </c>
      <c r="M58" s="10">
        <f t="shared" si="29"/>
        <v>44.27870823345507</v>
      </c>
      <c r="P58" s="13">
        <v>400</v>
      </c>
      <c r="Q58" s="10">
        <v>191.33333333333331</v>
      </c>
      <c r="R58" s="10">
        <f t="shared" si="30"/>
        <v>201.90809058690397</v>
      </c>
      <c r="S58" s="10">
        <f t="shared" si="31"/>
        <v>-10.574757253570652</v>
      </c>
      <c r="T58" s="10">
        <f t="shared" si="32"/>
        <v>111.82549097194513</v>
      </c>
      <c r="W58" s="13">
        <v>400</v>
      </c>
      <c r="X58" s="10">
        <v>168.33333333333334</v>
      </c>
      <c r="Y58" s="10">
        <f t="shared" si="33"/>
        <v>183.77269918875265</v>
      </c>
      <c r="Z58" s="10">
        <f t="shared" si="34"/>
        <v>-15.439365855419311</v>
      </c>
      <c r="AA58" s="10">
        <f t="shared" si="35"/>
        <v>238.37401801748766</v>
      </c>
    </row>
    <row r="59" spans="1:27" ht="16">
      <c r="B59" s="10" t="s">
        <v>82</v>
      </c>
      <c r="C59" s="12" t="s">
        <v>81</v>
      </c>
      <c r="D59" s="12" t="s">
        <v>80</v>
      </c>
      <c r="E59" s="12"/>
      <c r="F59" s="10" t="s">
        <v>79</v>
      </c>
      <c r="I59" s="10" t="s">
        <v>82</v>
      </c>
      <c r="J59" s="12" t="s">
        <v>81</v>
      </c>
      <c r="K59" s="12" t="s">
        <v>80</v>
      </c>
      <c r="L59" s="12"/>
      <c r="M59" s="10" t="s">
        <v>79</v>
      </c>
      <c r="P59" s="10" t="s">
        <v>82</v>
      </c>
      <c r="Q59" s="12" t="s">
        <v>81</v>
      </c>
      <c r="R59" s="12" t="s">
        <v>80</v>
      </c>
      <c r="S59" s="12"/>
      <c r="T59" s="10" t="s">
        <v>79</v>
      </c>
      <c r="W59" s="10" t="s">
        <v>82</v>
      </c>
      <c r="X59" s="12" t="s">
        <v>81</v>
      </c>
      <c r="Y59" s="12" t="s">
        <v>80</v>
      </c>
      <c r="Z59" s="12"/>
      <c r="AA59" s="10" t="s">
        <v>79</v>
      </c>
    </row>
    <row r="60" spans="1:27" ht="16">
      <c r="B60" s="12">
        <v>9.3095174978091944</v>
      </c>
      <c r="C60" s="12">
        <v>224.91929420394737</v>
      </c>
      <c r="D60" s="12">
        <v>0.5</v>
      </c>
      <c r="E60" s="12"/>
      <c r="F60" s="11">
        <f>SUM(F43:F58)</f>
        <v>2182.4974096088772</v>
      </c>
      <c r="I60" s="12">
        <v>9.1694753621203677</v>
      </c>
      <c r="J60" s="12">
        <v>222.65588573477004</v>
      </c>
      <c r="K60" s="12">
        <v>1</v>
      </c>
      <c r="L60" s="12"/>
      <c r="M60" s="11">
        <f>SUM(M43:M58)</f>
        <v>1680.687355103812</v>
      </c>
      <c r="P60" s="12">
        <v>15.006476161495225</v>
      </c>
      <c r="Q60" s="12">
        <v>209.53805394387641</v>
      </c>
      <c r="R60" s="12">
        <v>3</v>
      </c>
      <c r="S60" s="12"/>
      <c r="T60" s="11">
        <f>SUM(T43:T58)</f>
        <v>757.75801914715191</v>
      </c>
      <c r="W60" s="12">
        <v>21.919099218693749</v>
      </c>
      <c r="X60" s="12">
        <v>194.06226917550401</v>
      </c>
      <c r="Y60" s="12">
        <v>9</v>
      </c>
      <c r="Z60" s="12"/>
      <c r="AA60" s="11">
        <f>SUM(AA43:AA58)</f>
        <v>910.5773479918347</v>
      </c>
    </row>
    <row r="62" spans="1:27">
      <c r="A62" s="14"/>
      <c r="B62" s="10" t="s">
        <v>90</v>
      </c>
      <c r="C62" s="10" t="s">
        <v>89</v>
      </c>
      <c r="D62" s="11" t="s">
        <v>88</v>
      </c>
      <c r="E62" s="10" t="s">
        <v>87</v>
      </c>
      <c r="F62" s="10" t="s">
        <v>86</v>
      </c>
      <c r="H62" s="14"/>
      <c r="I62" s="10" t="s">
        <v>90</v>
      </c>
      <c r="J62" s="10" t="s">
        <v>89</v>
      </c>
      <c r="K62" s="10" t="s">
        <v>88</v>
      </c>
      <c r="L62" s="10" t="s">
        <v>87</v>
      </c>
      <c r="M62" s="10" t="s">
        <v>86</v>
      </c>
      <c r="O62" s="14"/>
      <c r="P62" s="10" t="s">
        <v>90</v>
      </c>
      <c r="Q62" s="10" t="s">
        <v>89</v>
      </c>
      <c r="R62" s="10" t="s">
        <v>88</v>
      </c>
      <c r="S62" s="10" t="s">
        <v>87</v>
      </c>
      <c r="T62" s="10" t="s">
        <v>86</v>
      </c>
      <c r="V62" s="14"/>
      <c r="W62" s="10" t="s">
        <v>90</v>
      </c>
      <c r="X62" s="10" t="s">
        <v>89</v>
      </c>
      <c r="Y62" s="10" t="s">
        <v>88</v>
      </c>
      <c r="Z62" s="10" t="s">
        <v>87</v>
      </c>
      <c r="AA62" s="10" t="s">
        <v>86</v>
      </c>
    </row>
    <row r="63" spans="1:27">
      <c r="A63" s="10" t="s">
        <v>97</v>
      </c>
      <c r="B63" s="10">
        <v>1.220703125E-2</v>
      </c>
      <c r="C63" s="10">
        <v>2.3332999999999942</v>
      </c>
      <c r="D63" s="10">
        <f t="shared" ref="D63:D78" si="36" xml:space="preserve"> (B$80+B63+D$80-((B$80+B63+D$80)^2-4*D$80*B63)^0.5)*C$80/(2*D$80)</f>
        <v>0.36607450050472717</v>
      </c>
      <c r="E63" s="10">
        <f t="shared" ref="E63:E78" si="37">C63-D63</f>
        <v>1.9672254994952669</v>
      </c>
      <c r="F63" s="10">
        <f t="shared" ref="F63:F78" si="38">E63*E63</f>
        <v>3.8699761658644025</v>
      </c>
      <c r="H63" s="10" t="s">
        <v>96</v>
      </c>
      <c r="I63" s="10">
        <v>1.220703125E-2</v>
      </c>
      <c r="J63" s="10">
        <v>-1</v>
      </c>
      <c r="K63" s="10">
        <f t="shared" ref="K63:K78" si="39" xml:space="preserve"> (I$80+I63+K$80-((I$80+I63+K$80)^2-4*K$80*I63)^0.5)*J$80/(2*K$80)</f>
        <v>0.3719898007745337</v>
      </c>
      <c r="L63" s="10">
        <f t="shared" ref="L63:L78" si="40">J63-K63</f>
        <v>-1.3719898007745337</v>
      </c>
      <c r="M63" s="10">
        <f t="shared" ref="M63:M78" si="41">L63*L63</f>
        <v>1.8823560134293447</v>
      </c>
      <c r="O63" s="10" t="s">
        <v>95</v>
      </c>
      <c r="P63" s="10">
        <v>1.220703125E-2</v>
      </c>
      <c r="Q63" s="10">
        <v>3.9999666666666656</v>
      </c>
      <c r="R63" s="10">
        <f t="shared" ref="R63:R78" si="42" xml:space="preserve"> (P$80+P63+R$80-((P$80+P63+R$80)^2-4*R$80*P63)^0.5)*Q$80/(2*R$80)</f>
        <v>0.21183220935030564</v>
      </c>
      <c r="S63" s="10">
        <f t="shared" ref="S63:S78" si="43">Q63-R63</f>
        <v>3.7881344573163598</v>
      </c>
      <c r="T63" s="10">
        <f t="shared" ref="T63:T78" si="44">S63*S63</f>
        <v>14.349962666707512</v>
      </c>
      <c r="V63" s="10" t="s">
        <v>94</v>
      </c>
      <c r="W63" s="10">
        <v>1.220703125E-2</v>
      </c>
      <c r="X63" s="10">
        <v>0.66670000000000584</v>
      </c>
      <c r="Y63" s="10">
        <f t="shared" ref="Y63:Y78" si="45" xml:space="preserve"> (W$80+W63+Y$80-((W$80+W63+Y$80)^2-4*Y$80*W63)^0.5)*X$80/(2*Y$80)</f>
        <v>8.2688668948359828E-2</v>
      </c>
      <c r="Z63" s="10">
        <f t="shared" ref="Z63:Z78" si="46">X63-Y63</f>
        <v>0.58401133105164604</v>
      </c>
      <c r="AA63" s="10">
        <f t="shared" ref="AA63:AA78" si="47">Z63*Z63</f>
        <v>0.3410692347967153</v>
      </c>
    </row>
    <row r="64" spans="1:27">
      <c r="A64" s="10" t="s">
        <v>98</v>
      </c>
      <c r="B64" s="10">
        <v>2.44140625E-2</v>
      </c>
      <c r="C64" s="10">
        <v>-5.6667000000000058</v>
      </c>
      <c r="D64" s="10">
        <f t="shared" si="36"/>
        <v>0.73089732503497395</v>
      </c>
      <c r="E64" s="10">
        <f t="shared" si="37"/>
        <v>-6.3975973250349796</v>
      </c>
      <c r="F64" s="10">
        <f t="shared" si="38"/>
        <v>40.929251533294725</v>
      </c>
      <c r="H64" s="10" t="s">
        <v>98</v>
      </c>
      <c r="I64" s="10">
        <v>2.44140625E-2</v>
      </c>
      <c r="J64" s="10">
        <v>-3.6666666666666714</v>
      </c>
      <c r="K64" s="10">
        <f t="shared" si="39"/>
        <v>0.74284633417220203</v>
      </c>
      <c r="L64" s="10">
        <f t="shared" si="40"/>
        <v>-4.4095130008388734</v>
      </c>
      <c r="M64" s="10">
        <f t="shared" si="41"/>
        <v>19.443804904567045</v>
      </c>
      <c r="O64" s="10" t="s">
        <v>98</v>
      </c>
      <c r="P64" s="10">
        <v>2.44140625E-2</v>
      </c>
      <c r="Q64" s="10">
        <v>-2.0000333333333344</v>
      </c>
      <c r="R64" s="10">
        <f t="shared" si="42"/>
        <v>0.42332743525930766</v>
      </c>
      <c r="S64" s="10">
        <f t="shared" si="43"/>
        <v>-2.4233607685926422</v>
      </c>
      <c r="T64" s="10">
        <f t="shared" si="44"/>
        <v>5.8726774147539214</v>
      </c>
      <c r="V64" s="10" t="s">
        <v>98</v>
      </c>
      <c r="W64" s="10">
        <v>2.44140625E-2</v>
      </c>
      <c r="X64" s="10">
        <v>0.33336666666667725</v>
      </c>
      <c r="Y64" s="10">
        <f t="shared" si="45"/>
        <v>0.16532941864690412</v>
      </c>
      <c r="Z64" s="10">
        <f t="shared" si="46"/>
        <v>0.16803724801977313</v>
      </c>
      <c r="AA64" s="10">
        <f t="shared" si="47"/>
        <v>2.8236516722058749E-2</v>
      </c>
    </row>
    <row r="65" spans="2:27">
      <c r="B65" s="10">
        <v>4.8828125E-2</v>
      </c>
      <c r="C65" s="10">
        <v>-12.666700000000006</v>
      </c>
      <c r="D65" s="10">
        <f t="shared" si="36"/>
        <v>1.4568114599782749</v>
      </c>
      <c r="E65" s="10">
        <f t="shared" si="37"/>
        <v>-14.12351145997828</v>
      </c>
      <c r="F65" s="10">
        <f t="shared" si="38"/>
        <v>199.47357596013782</v>
      </c>
      <c r="I65" s="10">
        <v>4.8828125E-2</v>
      </c>
      <c r="J65" s="10">
        <v>14.333333333333329</v>
      </c>
      <c r="K65" s="10">
        <f t="shared" si="39"/>
        <v>1.4811767469357615</v>
      </c>
      <c r="L65" s="10">
        <f t="shared" si="40"/>
        <v>12.852156586397568</v>
      </c>
      <c r="M65" s="10">
        <f t="shared" si="41"/>
        <v>165.17792892128239</v>
      </c>
      <c r="O65" s="10" t="s">
        <v>93</v>
      </c>
      <c r="P65" s="10">
        <v>4.8828125E-2</v>
      </c>
      <c r="Q65" s="10">
        <v>3.6666333333333228</v>
      </c>
      <c r="R65" s="10">
        <f t="shared" si="42"/>
        <v>0.84530898659627807</v>
      </c>
      <c r="S65" s="10">
        <f t="shared" si="43"/>
        <v>2.8213243467370446</v>
      </c>
      <c r="T65" s="10">
        <f t="shared" si="44"/>
        <v>7.9598710694912116</v>
      </c>
      <c r="V65" s="10" t="s">
        <v>93</v>
      </c>
      <c r="W65" s="10">
        <v>4.8828125E-2</v>
      </c>
      <c r="X65" s="10">
        <v>-2.6666333333333228</v>
      </c>
      <c r="Y65" s="10">
        <f t="shared" si="45"/>
        <v>0.33046725237459901</v>
      </c>
      <c r="Z65" s="10">
        <f t="shared" si="46"/>
        <v>-2.9971005857079218</v>
      </c>
      <c r="AA65" s="10">
        <f t="shared" si="47"/>
        <v>8.9826119208507684</v>
      </c>
    </row>
    <row r="66" spans="2:27">
      <c r="B66" s="10">
        <v>9.765625E-2</v>
      </c>
      <c r="C66" s="10">
        <v>-2.6667000000000058</v>
      </c>
      <c r="D66" s="10">
        <f t="shared" si="36"/>
        <v>2.8938764162020929</v>
      </c>
      <c r="E66" s="10">
        <f t="shared" si="37"/>
        <v>-5.5605764162020987</v>
      </c>
      <c r="F66" s="10">
        <f t="shared" si="38"/>
        <v>30.920010080422976</v>
      </c>
      <c r="I66" s="10">
        <v>9.765625E-2</v>
      </c>
      <c r="J66" s="10">
        <v>8.3333333333333286</v>
      </c>
      <c r="K66" s="10">
        <f t="shared" si="39"/>
        <v>2.9444260824103314</v>
      </c>
      <c r="L66" s="10">
        <f t="shared" si="40"/>
        <v>5.3889072509229976</v>
      </c>
      <c r="M66" s="10">
        <f t="shared" si="41"/>
        <v>29.040321359050459</v>
      </c>
      <c r="P66" s="10">
        <v>9.765625E-2</v>
      </c>
      <c r="Q66" s="10">
        <v>9.6666333333333228</v>
      </c>
      <c r="R66" s="10">
        <f t="shared" si="42"/>
        <v>1.6852508296485069</v>
      </c>
      <c r="S66" s="10">
        <f t="shared" si="43"/>
        <v>7.9813825036848156</v>
      </c>
      <c r="T66" s="10">
        <f t="shared" si="44"/>
        <v>63.702466670126093</v>
      </c>
      <c r="W66" s="10">
        <v>9.765625E-2</v>
      </c>
      <c r="X66" s="10">
        <v>0.33336666666667725</v>
      </c>
      <c r="Y66" s="10">
        <f t="shared" si="45"/>
        <v>0.66016890209363199</v>
      </c>
      <c r="Z66" s="10">
        <f t="shared" si="46"/>
        <v>-0.32680223542695475</v>
      </c>
      <c r="AA66" s="10">
        <f t="shared" si="47"/>
        <v>0.10679970108005475</v>
      </c>
    </row>
    <row r="67" spans="2:27">
      <c r="B67" s="10">
        <v>0.1953125</v>
      </c>
      <c r="C67" s="10">
        <v>-6.6667000000000058</v>
      </c>
      <c r="D67" s="10">
        <f t="shared" si="36"/>
        <v>5.7102277511597137</v>
      </c>
      <c r="E67" s="10">
        <f t="shared" si="37"/>
        <v>-12.37692775115972</v>
      </c>
      <c r="F67" s="10">
        <f t="shared" si="38"/>
        <v>153.18834055742758</v>
      </c>
      <c r="I67" s="10">
        <v>0.1953125</v>
      </c>
      <c r="J67" s="10">
        <v>17.333333333333329</v>
      </c>
      <c r="K67" s="10">
        <f t="shared" si="39"/>
        <v>5.81821824010808</v>
      </c>
      <c r="L67" s="10">
        <f t="shared" si="40"/>
        <v>11.515115093225248</v>
      </c>
      <c r="M67" s="10">
        <f t="shared" si="41"/>
        <v>132.59787561022389</v>
      </c>
      <c r="P67" s="10">
        <v>0.1953125</v>
      </c>
      <c r="Q67" s="10">
        <v>6.3332999999999942</v>
      </c>
      <c r="R67" s="10">
        <f t="shared" si="42"/>
        <v>3.3491641050289123</v>
      </c>
      <c r="S67" s="10">
        <f t="shared" si="43"/>
        <v>2.9841358949710819</v>
      </c>
      <c r="T67" s="10">
        <f t="shared" si="44"/>
        <v>8.9050670396548597</v>
      </c>
      <c r="W67" s="10">
        <v>0.1953125</v>
      </c>
      <c r="X67" s="10">
        <v>-1.9999666666666656</v>
      </c>
      <c r="Y67" s="10">
        <f t="shared" si="45"/>
        <v>1.3172812957262876</v>
      </c>
      <c r="Z67" s="10">
        <f t="shared" si="46"/>
        <v>-3.3172479623929529</v>
      </c>
      <c r="AA67" s="10">
        <f t="shared" si="47"/>
        <v>11.004134044000198</v>
      </c>
    </row>
    <row r="68" spans="2:27">
      <c r="B68" s="10">
        <v>0.390625</v>
      </c>
      <c r="C68" s="10">
        <v>-7.1667000000000058</v>
      </c>
      <c r="D68" s="10">
        <f t="shared" si="36"/>
        <v>11.121593575591177</v>
      </c>
      <c r="E68" s="10">
        <f t="shared" si="37"/>
        <v>-18.288293575591183</v>
      </c>
      <c r="F68" s="10">
        <f t="shared" si="38"/>
        <v>334.46168190700973</v>
      </c>
      <c r="I68" s="10">
        <v>0.390625</v>
      </c>
      <c r="J68" s="10">
        <v>7</v>
      </c>
      <c r="K68" s="10">
        <f t="shared" si="39"/>
        <v>11.362278261869127</v>
      </c>
      <c r="L68" s="10">
        <f t="shared" si="40"/>
        <v>-4.3622782618691271</v>
      </c>
      <c r="M68" s="10">
        <f t="shared" si="41"/>
        <v>19.029471633975934</v>
      </c>
      <c r="P68" s="10">
        <v>0.390625</v>
      </c>
      <c r="Q68" s="10">
        <v>13.666633333333323</v>
      </c>
      <c r="R68" s="10">
        <f t="shared" si="42"/>
        <v>6.6140239119899666</v>
      </c>
      <c r="S68" s="10">
        <f t="shared" si="43"/>
        <v>7.0526094213433561</v>
      </c>
      <c r="T68" s="10">
        <f t="shared" si="44"/>
        <v>49.739299650021067</v>
      </c>
      <c r="W68" s="10">
        <v>0.390625</v>
      </c>
      <c r="X68" s="10">
        <v>-3.6666333333333228</v>
      </c>
      <c r="Y68" s="10">
        <f t="shared" si="45"/>
        <v>2.622383867333145</v>
      </c>
      <c r="Z68" s="10">
        <f t="shared" si="46"/>
        <v>-6.2890172006664677</v>
      </c>
      <c r="AA68" s="10">
        <f t="shared" si="47"/>
        <v>39.551737350278692</v>
      </c>
    </row>
    <row r="69" spans="2:27">
      <c r="B69" s="10">
        <v>0.78125</v>
      </c>
      <c r="C69" s="10">
        <v>3.9999666666666656</v>
      </c>
      <c r="D69" s="10">
        <f t="shared" si="36"/>
        <v>21.130968125089105</v>
      </c>
      <c r="E69" s="10">
        <f t="shared" si="37"/>
        <v>-17.131001458422439</v>
      </c>
      <c r="F69" s="10">
        <f t="shared" si="38"/>
        <v>293.47121096847172</v>
      </c>
      <c r="I69" s="10">
        <v>0.78125</v>
      </c>
      <c r="J69" s="10">
        <v>25</v>
      </c>
      <c r="K69" s="10">
        <f t="shared" si="39"/>
        <v>21.69140295156566</v>
      </c>
      <c r="L69" s="10">
        <f t="shared" si="40"/>
        <v>3.3085970484343399</v>
      </c>
      <c r="M69" s="10">
        <f t="shared" si="41"/>
        <v>10.946814428908425</v>
      </c>
      <c r="P69" s="10">
        <v>0.78125</v>
      </c>
      <c r="Q69" s="10">
        <v>6.9999666666666656</v>
      </c>
      <c r="R69" s="10">
        <f t="shared" si="42"/>
        <v>12.899151113288921</v>
      </c>
      <c r="S69" s="10">
        <f t="shared" si="43"/>
        <v>-5.8991844466222556</v>
      </c>
      <c r="T69" s="10">
        <f t="shared" si="44"/>
        <v>34.800377135269926</v>
      </c>
      <c r="W69" s="10">
        <v>0.78125</v>
      </c>
      <c r="X69" s="10">
        <v>6.3333666666666772</v>
      </c>
      <c r="Y69" s="10">
        <f t="shared" si="45"/>
        <v>5.1964326866673769</v>
      </c>
      <c r="Z69" s="10">
        <f t="shared" si="46"/>
        <v>1.1369339799993003</v>
      </c>
      <c r="AA69" s="10">
        <f t="shared" si="47"/>
        <v>1.2926188748770495</v>
      </c>
    </row>
    <row r="70" spans="2:27">
      <c r="B70" s="10">
        <v>1.5625</v>
      </c>
      <c r="C70" s="10">
        <v>25.999966666666666</v>
      </c>
      <c r="D70" s="10">
        <f t="shared" si="36"/>
        <v>38.386354067422921</v>
      </c>
      <c r="E70" s="10">
        <f t="shared" si="37"/>
        <v>-12.386387400756256</v>
      </c>
      <c r="F70" s="10">
        <f t="shared" si="38"/>
        <v>153.42259284161332</v>
      </c>
      <c r="I70" s="10">
        <v>1.5625</v>
      </c>
      <c r="J70" s="10">
        <v>51.333333333333329</v>
      </c>
      <c r="K70" s="10">
        <f t="shared" si="39"/>
        <v>39.705261131859331</v>
      </c>
      <c r="L70" s="10">
        <f t="shared" si="40"/>
        <v>11.628072201473998</v>
      </c>
      <c r="M70" s="10">
        <f t="shared" si="41"/>
        <v>135.21206312269234</v>
      </c>
      <c r="P70" s="10">
        <v>1.5625</v>
      </c>
      <c r="Q70" s="10">
        <v>16.666633333333323</v>
      </c>
      <c r="R70" s="10">
        <f t="shared" si="42"/>
        <v>24.54821589229795</v>
      </c>
      <c r="S70" s="10">
        <f t="shared" si="43"/>
        <v>-7.8815825589646273</v>
      </c>
      <c r="T70" s="10">
        <f t="shared" si="44"/>
        <v>62.119343633775401</v>
      </c>
      <c r="W70" s="10">
        <v>1.5625</v>
      </c>
      <c r="X70" s="10">
        <v>7.0000333333333344</v>
      </c>
      <c r="Y70" s="10">
        <f t="shared" si="45"/>
        <v>10.20258251378125</v>
      </c>
      <c r="Z70" s="10">
        <f t="shared" si="46"/>
        <v>-3.2025491804479156</v>
      </c>
      <c r="AA70" s="10">
        <f t="shared" si="47"/>
        <v>10.256321253187616</v>
      </c>
    </row>
    <row r="71" spans="2:27">
      <c r="B71" s="10">
        <v>3.125</v>
      </c>
      <c r="C71" s="10">
        <v>59.999966666666651</v>
      </c>
      <c r="D71" s="10">
        <f t="shared" si="36"/>
        <v>64.733784303542279</v>
      </c>
      <c r="E71" s="10">
        <f t="shared" si="37"/>
        <v>-4.733817636875628</v>
      </c>
      <c r="F71" s="10">
        <f t="shared" si="38"/>
        <v>22.409029419194756</v>
      </c>
      <c r="I71" s="10">
        <v>3.125</v>
      </c>
      <c r="J71" s="10">
        <v>59</v>
      </c>
      <c r="K71" s="10">
        <f t="shared" si="39"/>
        <v>67.624299021499951</v>
      </c>
      <c r="L71" s="10">
        <f t="shared" si="40"/>
        <v>-8.6242990214999509</v>
      </c>
      <c r="M71" s="10">
        <f t="shared" si="41"/>
        <v>74.378533612245008</v>
      </c>
      <c r="P71" s="10">
        <v>3.125</v>
      </c>
      <c r="Q71" s="10">
        <v>35.333299999999994</v>
      </c>
      <c r="R71" s="10">
        <f t="shared" si="42"/>
        <v>44.595401835660795</v>
      </c>
      <c r="S71" s="10">
        <f t="shared" si="43"/>
        <v>-9.2621018356608005</v>
      </c>
      <c r="T71" s="10">
        <f t="shared" si="44"/>
        <v>85.786530414151173</v>
      </c>
      <c r="W71" s="10">
        <v>3.125</v>
      </c>
      <c r="X71" s="10">
        <v>11.666700000000006</v>
      </c>
      <c r="Y71" s="10">
        <f t="shared" si="45"/>
        <v>19.668685890407861</v>
      </c>
      <c r="Z71" s="10">
        <f t="shared" si="46"/>
        <v>-8.0019858904078554</v>
      </c>
      <c r="AA71" s="10">
        <f t="shared" si="47"/>
        <v>64.031778190286403</v>
      </c>
    </row>
    <row r="72" spans="2:27">
      <c r="B72" s="10">
        <v>6.25</v>
      </c>
      <c r="C72" s="10">
        <v>103.66663333333334</v>
      </c>
      <c r="D72" s="10">
        <f t="shared" si="36"/>
        <v>98.175779426053424</v>
      </c>
      <c r="E72" s="10">
        <f t="shared" si="37"/>
        <v>5.490853907279913</v>
      </c>
      <c r="F72" s="10">
        <f t="shared" si="38"/>
        <v>30.149476631091087</v>
      </c>
      <c r="I72" s="10">
        <v>6.25</v>
      </c>
      <c r="J72" s="10">
        <v>89.666666666666657</v>
      </c>
      <c r="K72" s="10">
        <f t="shared" si="39"/>
        <v>103.4956844255293</v>
      </c>
      <c r="L72" s="10">
        <f t="shared" si="40"/>
        <v>-13.829017758862648</v>
      </c>
      <c r="M72" s="10">
        <f t="shared" si="41"/>
        <v>191.24173217493848</v>
      </c>
      <c r="P72" s="10">
        <v>6.25</v>
      </c>
      <c r="Q72" s="10">
        <v>66.999966666666651</v>
      </c>
      <c r="R72" s="10">
        <f t="shared" si="42"/>
        <v>74.660784869013355</v>
      </c>
      <c r="S72" s="10">
        <f t="shared" si="43"/>
        <v>-7.6608182023467037</v>
      </c>
      <c r="T72" s="10">
        <f t="shared" si="44"/>
        <v>58.68813552940658</v>
      </c>
      <c r="W72" s="10">
        <v>6.25</v>
      </c>
      <c r="X72" s="10">
        <v>37.000033333333334</v>
      </c>
      <c r="Y72" s="10">
        <f t="shared" si="45"/>
        <v>36.588837438513586</v>
      </c>
      <c r="Z72" s="10">
        <f t="shared" si="46"/>
        <v>0.41119589481974828</v>
      </c>
      <c r="AA72" s="10">
        <f t="shared" si="47"/>
        <v>0.16908206391661348</v>
      </c>
    </row>
    <row r="73" spans="2:27">
      <c r="B73" s="10">
        <v>12.5</v>
      </c>
      <c r="C73" s="10">
        <v>135.66663333333332</v>
      </c>
      <c r="D73" s="10">
        <f t="shared" si="36"/>
        <v>131.77179159001929</v>
      </c>
      <c r="E73" s="10">
        <f t="shared" si="37"/>
        <v>3.8948417433140321</v>
      </c>
      <c r="F73" s="10">
        <f t="shared" si="38"/>
        <v>15.169792205461489</v>
      </c>
      <c r="I73" s="10">
        <v>12.5</v>
      </c>
      <c r="J73" s="10">
        <v>143.33333333333334</v>
      </c>
      <c r="K73" s="10">
        <f t="shared" si="39"/>
        <v>139.56012812802771</v>
      </c>
      <c r="L73" s="10">
        <f t="shared" si="40"/>
        <v>3.7732052053056293</v>
      </c>
      <c r="M73" s="10">
        <f t="shared" si="41"/>
        <v>14.237077521345496</v>
      </c>
      <c r="P73" s="10">
        <v>12.5</v>
      </c>
      <c r="Q73" s="10">
        <v>115.33329999999999</v>
      </c>
      <c r="R73" s="10">
        <f t="shared" si="42"/>
        <v>110.73787824843619</v>
      </c>
      <c r="S73" s="10">
        <f t="shared" si="43"/>
        <v>4.5954217515638049</v>
      </c>
      <c r="T73" s="10">
        <f t="shared" si="44"/>
        <v>21.117901074745749</v>
      </c>
      <c r="W73" s="10">
        <v>12.5</v>
      </c>
      <c r="X73" s="10">
        <v>56.333366666666663</v>
      </c>
      <c r="Y73" s="10">
        <f t="shared" si="45"/>
        <v>63.695073699055811</v>
      </c>
      <c r="Z73" s="10">
        <f t="shared" si="46"/>
        <v>-7.3617070323891483</v>
      </c>
      <c r="AA73" s="10">
        <f t="shared" si="47"/>
        <v>54.194730430727837</v>
      </c>
    </row>
    <row r="74" spans="2:27">
      <c r="B74" s="10">
        <v>25</v>
      </c>
      <c r="C74" s="10">
        <v>180.33330000000001</v>
      </c>
      <c r="D74" s="10">
        <f t="shared" si="36"/>
        <v>158.44939439972094</v>
      </c>
      <c r="E74" s="10">
        <f t="shared" si="37"/>
        <v>21.883905600279064</v>
      </c>
      <c r="F74" s="10">
        <f t="shared" si="38"/>
        <v>478.90532432192538</v>
      </c>
      <c r="I74" s="10">
        <v>25</v>
      </c>
      <c r="J74" s="10">
        <v>177.66666666666666</v>
      </c>
      <c r="K74" s="10">
        <f t="shared" si="39"/>
        <v>167.8597275217125</v>
      </c>
      <c r="L74" s="10">
        <f t="shared" si="40"/>
        <v>9.806939144954157</v>
      </c>
      <c r="M74" s="10">
        <f t="shared" si="41"/>
        <v>96.176055392834172</v>
      </c>
      <c r="P74" s="10">
        <v>25</v>
      </c>
      <c r="Q74" s="10">
        <v>159.33330000000001</v>
      </c>
      <c r="R74" s="10">
        <f t="shared" si="42"/>
        <v>143.41501811387715</v>
      </c>
      <c r="S74" s="10">
        <f t="shared" si="43"/>
        <v>15.918281886122855</v>
      </c>
      <c r="T74" s="10">
        <f t="shared" si="44"/>
        <v>253.39169820606702</v>
      </c>
      <c r="W74" s="10">
        <v>25</v>
      </c>
      <c r="X74" s="10">
        <v>102.00003333333335</v>
      </c>
      <c r="Y74" s="10">
        <f t="shared" si="45"/>
        <v>99.449181008678551</v>
      </c>
      <c r="Z74" s="10">
        <f t="shared" si="46"/>
        <v>2.5508523246547981</v>
      </c>
      <c r="AA74" s="10">
        <f t="shared" si="47"/>
        <v>6.5068475821967873</v>
      </c>
    </row>
    <row r="75" spans="2:27">
      <c r="B75" s="10">
        <v>50</v>
      </c>
      <c r="C75" s="10">
        <v>183.33330000000001</v>
      </c>
      <c r="D75" s="10">
        <f t="shared" si="36"/>
        <v>176.01067849091794</v>
      </c>
      <c r="E75" s="10">
        <f t="shared" si="37"/>
        <v>7.3226215090820688</v>
      </c>
      <c r="F75" s="10">
        <f t="shared" si="38"/>
        <v>53.620785765271357</v>
      </c>
      <c r="I75" s="10">
        <v>50</v>
      </c>
      <c r="J75" s="10">
        <v>191</v>
      </c>
      <c r="K75" s="10">
        <f t="shared" si="39"/>
        <v>186.18523241963078</v>
      </c>
      <c r="L75" s="10">
        <f t="shared" si="40"/>
        <v>4.8147675803692209</v>
      </c>
      <c r="M75" s="10">
        <f t="shared" si="41"/>
        <v>23.181986852974482</v>
      </c>
      <c r="P75" s="10">
        <v>50</v>
      </c>
      <c r="Q75" s="10">
        <v>160.99996666666664</v>
      </c>
      <c r="R75" s="10">
        <f t="shared" si="42"/>
        <v>166.36998356918303</v>
      </c>
      <c r="S75" s="10">
        <f t="shared" si="43"/>
        <v>-5.3700169025163973</v>
      </c>
      <c r="T75" s="10">
        <f t="shared" si="44"/>
        <v>28.837081533311803</v>
      </c>
      <c r="W75" s="10">
        <v>50</v>
      </c>
      <c r="X75" s="10">
        <v>131.66669999999999</v>
      </c>
      <c r="Y75" s="10">
        <f t="shared" si="45"/>
        <v>135.15182370780798</v>
      </c>
      <c r="Z75" s="10">
        <f t="shared" si="46"/>
        <v>-3.4851237078079862</v>
      </c>
      <c r="AA75" s="10">
        <f t="shared" si="47"/>
        <v>12.146087258725286</v>
      </c>
    </row>
    <row r="76" spans="2:27">
      <c r="B76" s="10">
        <v>100</v>
      </c>
      <c r="C76" s="10">
        <v>180.66663333333332</v>
      </c>
      <c r="D76" s="10">
        <f t="shared" si="36"/>
        <v>186.22604693183419</v>
      </c>
      <c r="E76" s="10">
        <f t="shared" si="37"/>
        <v>-5.5594135985008677</v>
      </c>
      <c r="F76" s="10">
        <f t="shared" si="38"/>
        <v>30.907079559196365</v>
      </c>
      <c r="I76" s="10">
        <v>100</v>
      </c>
      <c r="J76" s="10">
        <v>206</v>
      </c>
      <c r="K76" s="10">
        <f t="shared" si="39"/>
        <v>196.7016826087972</v>
      </c>
      <c r="L76" s="10">
        <f t="shared" si="40"/>
        <v>9.2983173912028008</v>
      </c>
      <c r="M76" s="10">
        <f t="shared" si="41"/>
        <v>86.45870630754446</v>
      </c>
      <c r="P76" s="10">
        <v>100</v>
      </c>
      <c r="Q76" s="10">
        <v>185.66663333333332</v>
      </c>
      <c r="R76" s="10">
        <f t="shared" si="42"/>
        <v>180.01651900137699</v>
      </c>
      <c r="S76" s="10">
        <f t="shared" si="43"/>
        <v>5.6501143319563312</v>
      </c>
      <c r="T76" s="10">
        <f t="shared" si="44"/>
        <v>31.923791964178339</v>
      </c>
      <c r="W76" s="10">
        <v>100</v>
      </c>
      <c r="X76" s="10">
        <v>178.33336666666668</v>
      </c>
      <c r="Y76" s="10">
        <f t="shared" si="45"/>
        <v>161.96298834713835</v>
      </c>
      <c r="Z76" s="10">
        <f t="shared" si="46"/>
        <v>16.370378319528328</v>
      </c>
      <c r="AA76" s="10">
        <f t="shared" si="47"/>
        <v>267.98928632448315</v>
      </c>
    </row>
    <row r="77" spans="2:27">
      <c r="B77" s="10">
        <v>200</v>
      </c>
      <c r="C77" s="10">
        <v>189.66663333333332</v>
      </c>
      <c r="D77" s="10">
        <f t="shared" si="36"/>
        <v>191.75659580896038</v>
      </c>
      <c r="E77" s="10">
        <f t="shared" si="37"/>
        <v>-2.0899624756270612</v>
      </c>
      <c r="F77" s="10">
        <f t="shared" si="38"/>
        <v>4.3679431495291938</v>
      </c>
      <c r="I77" s="10">
        <v>200</v>
      </c>
      <c r="J77" s="10">
        <v>197.66666666666669</v>
      </c>
      <c r="K77" s="10">
        <f t="shared" si="39"/>
        <v>202.34570455951808</v>
      </c>
      <c r="L77" s="10">
        <f t="shared" si="40"/>
        <v>-4.6790378928513974</v>
      </c>
      <c r="M77" s="10">
        <f t="shared" si="41"/>
        <v>21.893395602739243</v>
      </c>
      <c r="P77" s="10">
        <v>200</v>
      </c>
      <c r="Q77" s="10">
        <v>186.33330000000001</v>
      </c>
      <c r="R77" s="10">
        <f t="shared" si="42"/>
        <v>187.44021571026292</v>
      </c>
      <c r="S77" s="10">
        <f t="shared" si="43"/>
        <v>-1.1069157102629106</v>
      </c>
      <c r="T77" s="10">
        <f t="shared" si="44"/>
        <v>1.2252623896268438</v>
      </c>
      <c r="W77" s="10">
        <v>200</v>
      </c>
      <c r="X77" s="10">
        <v>183.33336666666668</v>
      </c>
      <c r="Y77" s="10">
        <f t="shared" si="45"/>
        <v>178.41567232968927</v>
      </c>
      <c r="Z77" s="10">
        <f t="shared" si="46"/>
        <v>4.9176943369774051</v>
      </c>
      <c r="AA77" s="10">
        <f t="shared" si="47"/>
        <v>24.18371759193964</v>
      </c>
    </row>
    <row r="78" spans="2:27" ht="16">
      <c r="B78" s="13">
        <v>400</v>
      </c>
      <c r="C78" s="10">
        <v>179.66663333333332</v>
      </c>
      <c r="D78" s="10">
        <f t="shared" si="36"/>
        <v>194.63698963718684</v>
      </c>
      <c r="E78" s="10">
        <f t="shared" si="37"/>
        <v>-14.970356303853521</v>
      </c>
      <c r="F78" s="10">
        <f t="shared" si="38"/>
        <v>224.11156786432684</v>
      </c>
      <c r="I78" s="13">
        <v>400</v>
      </c>
      <c r="J78" s="10">
        <v>193</v>
      </c>
      <c r="K78" s="10">
        <f t="shared" si="39"/>
        <v>205.27063009833554</v>
      </c>
      <c r="L78" s="10">
        <f t="shared" si="40"/>
        <v>-12.270630098335545</v>
      </c>
      <c r="M78" s="10">
        <f t="shared" si="41"/>
        <v>150.56836301017819</v>
      </c>
      <c r="P78" s="13">
        <v>400</v>
      </c>
      <c r="Q78" s="10">
        <v>183.33330000000001</v>
      </c>
      <c r="R78" s="10">
        <f t="shared" si="42"/>
        <v>191.30743956322598</v>
      </c>
      <c r="S78" s="10">
        <f t="shared" si="43"/>
        <v>-7.9741395632259753</v>
      </c>
      <c r="T78" s="10">
        <f t="shared" si="44"/>
        <v>63.586901773805749</v>
      </c>
      <c r="W78" s="13">
        <v>400</v>
      </c>
      <c r="X78" s="10">
        <v>173.33336666666668</v>
      </c>
      <c r="Y78" s="10">
        <f t="shared" si="45"/>
        <v>187.47589664578453</v>
      </c>
      <c r="Z78" s="10">
        <f t="shared" si="46"/>
        <v>-14.142529979117853</v>
      </c>
      <c r="AA78" s="10">
        <f t="shared" si="47"/>
        <v>200.01115421024721</v>
      </c>
    </row>
    <row r="79" spans="2:27" ht="16">
      <c r="B79" s="10" t="s">
        <v>82</v>
      </c>
      <c r="C79" s="12" t="s">
        <v>81</v>
      </c>
      <c r="D79" s="12" t="s">
        <v>80</v>
      </c>
      <c r="E79" s="12"/>
      <c r="F79" s="10" t="s">
        <v>79</v>
      </c>
      <c r="I79" s="10" t="s">
        <v>82</v>
      </c>
      <c r="J79" s="12" t="s">
        <v>81</v>
      </c>
      <c r="K79" s="12" t="s">
        <v>80</v>
      </c>
      <c r="L79" s="12"/>
      <c r="M79" s="10" t="s">
        <v>79</v>
      </c>
      <c r="P79" s="10" t="s">
        <v>82</v>
      </c>
      <c r="Q79" s="12" t="s">
        <v>81</v>
      </c>
      <c r="R79" s="12" t="s">
        <v>80</v>
      </c>
      <c r="S79" s="12"/>
      <c r="T79" s="10" t="s">
        <v>79</v>
      </c>
      <c r="W79" s="10" t="s">
        <v>82</v>
      </c>
      <c r="X79" s="12" t="s">
        <v>81</v>
      </c>
      <c r="Y79" s="12" t="s">
        <v>80</v>
      </c>
      <c r="Z79" s="12"/>
      <c r="AA79" s="10" t="s">
        <v>79</v>
      </c>
    </row>
    <row r="80" spans="2:27" ht="16">
      <c r="B80" s="12">
        <v>6.0777752978890902</v>
      </c>
      <c r="C80" s="12">
        <v>197.5980351985107</v>
      </c>
      <c r="D80" s="12">
        <v>0.5</v>
      </c>
      <c r="E80" s="12"/>
      <c r="F80" s="11">
        <f>SUM(F63:F78)</f>
        <v>2069.3776389302384</v>
      </c>
      <c r="I80" s="12">
        <v>5.8239559489580355</v>
      </c>
      <c r="J80" s="12">
        <v>208.26673036342029</v>
      </c>
      <c r="K80" s="12">
        <v>1</v>
      </c>
      <c r="L80" s="12"/>
      <c r="M80" s="11">
        <f>SUM(M63:M78)</f>
        <v>1171.4664864689294</v>
      </c>
      <c r="P80" s="12">
        <v>8.2442173053003369</v>
      </c>
      <c r="Q80" s="12">
        <v>195.27957486576264</v>
      </c>
      <c r="R80" s="12">
        <v>3</v>
      </c>
      <c r="S80" s="12"/>
      <c r="T80" s="11">
        <f>SUM(T63:T78)</f>
        <v>792.00636816509325</v>
      </c>
      <c r="W80" s="12">
        <v>20.088287894864383</v>
      </c>
      <c r="X80" s="12">
        <v>197.09697848259725</v>
      </c>
      <c r="Y80" s="12">
        <v>9</v>
      </c>
      <c r="Z80" s="12"/>
      <c r="AA80" s="11">
        <f>SUM(AA63:AA78)</f>
        <v>700.79621254831613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D505-E036-8A4B-9E93-8830A64525D6}">
  <dimension ref="A2:Y208"/>
  <sheetViews>
    <sheetView zoomScaleNormal="100" workbookViewId="0">
      <selection activeCell="O53" sqref="O53"/>
    </sheetView>
  </sheetViews>
  <sheetFormatPr baseColWidth="10" defaultRowHeight="15"/>
  <cols>
    <col min="1" max="15" width="7.83203125" style="10" customWidth="1"/>
    <col min="16" max="16" width="9.1640625" style="10" customWidth="1"/>
    <col min="17" max="16384" width="10.83203125" style="10"/>
  </cols>
  <sheetData>
    <row r="2" spans="1:13">
      <c r="A2" s="62"/>
      <c r="B2" s="10" t="s">
        <v>90</v>
      </c>
      <c r="C2" s="10" t="s">
        <v>89</v>
      </c>
      <c r="D2" s="10" t="s">
        <v>88</v>
      </c>
      <c r="E2" s="10" t="s">
        <v>87</v>
      </c>
      <c r="F2" s="10" t="s">
        <v>86</v>
      </c>
      <c r="H2" s="26"/>
      <c r="I2" s="1" t="s">
        <v>90</v>
      </c>
      <c r="J2" s="1" t="s">
        <v>89</v>
      </c>
      <c r="K2" s="1" t="s">
        <v>88</v>
      </c>
      <c r="L2" s="1" t="s">
        <v>87</v>
      </c>
      <c r="M2" s="1" t="s">
        <v>86</v>
      </c>
    </row>
    <row r="3" spans="1:13">
      <c r="A3" s="10" t="s">
        <v>103</v>
      </c>
      <c r="H3" s="1" t="s">
        <v>103</v>
      </c>
      <c r="I3" s="1"/>
      <c r="J3" s="1"/>
      <c r="K3" s="1"/>
      <c r="L3" s="1"/>
      <c r="M3" s="1"/>
    </row>
    <row r="4" spans="1:13">
      <c r="A4" s="10" t="s">
        <v>46</v>
      </c>
      <c r="H4" s="1" t="s">
        <v>46</v>
      </c>
      <c r="I4" s="1"/>
      <c r="J4" s="1"/>
      <c r="K4" s="1"/>
      <c r="L4" s="1"/>
      <c r="M4" s="1"/>
    </row>
    <row r="5" spans="1:13">
      <c r="A5" s="10" t="s">
        <v>92</v>
      </c>
      <c r="B5" s="10">
        <f t="shared" ref="B5:B16" si="0">B6/2</f>
        <v>7.8125E-2</v>
      </c>
      <c r="C5" s="10">
        <v>26</v>
      </c>
      <c r="D5" s="10">
        <f t="shared" ref="D5:D17" si="1" xml:space="preserve"> (B$20+B5+D$20-((B$20+B5+D$20)^2-4*D$20*B5)^0.5)*C$20/(2*D$20)</f>
        <v>1.41616743523164</v>
      </c>
      <c r="E5" s="10">
        <f>(C5-A$20)-D5</f>
        <v>-19.988432515462609</v>
      </c>
      <c r="F5" s="10">
        <f t="shared" ref="F5:F17" si="2">E5*E5</f>
        <v>399.53743442520289</v>
      </c>
      <c r="H5" s="1" t="s">
        <v>92</v>
      </c>
      <c r="I5" s="1">
        <v>7.8125E-2</v>
      </c>
      <c r="J5" s="1">
        <v>61.5</v>
      </c>
      <c r="K5" s="1">
        <v>0.6747071</v>
      </c>
      <c r="L5" s="1">
        <v>1.7971564010000001</v>
      </c>
      <c r="M5" s="1">
        <v>3.2297711279999999</v>
      </c>
    </row>
    <row r="6" spans="1:13">
      <c r="B6" s="10">
        <f t="shared" si="0"/>
        <v>0.15625</v>
      </c>
      <c r="C6" s="10">
        <v>40</v>
      </c>
      <c r="D6" s="10">
        <f t="shared" si="1"/>
        <v>2.8163255665664195</v>
      </c>
      <c r="E6" s="10">
        <f t="shared" ref="E6:E17" si="3">(C6-A$20)-D6</f>
        <v>-7.3885906467973896</v>
      </c>
      <c r="F6" s="10">
        <f t="shared" si="2"/>
        <v>54.591271745941867</v>
      </c>
      <c r="H6" s="1"/>
      <c r="I6" s="1">
        <v>0.15625</v>
      </c>
      <c r="J6" s="1">
        <v>78</v>
      </c>
      <c r="K6" s="1">
        <v>1.345490531</v>
      </c>
      <c r="L6" s="1">
        <v>17.626372969999998</v>
      </c>
      <c r="M6" s="1">
        <v>310.68902409999998</v>
      </c>
    </row>
    <row r="7" spans="1:13">
      <c r="B7" s="10">
        <f t="shared" si="0"/>
        <v>0.3125</v>
      </c>
      <c r="C7" s="10">
        <v>52.5</v>
      </c>
      <c r="D7" s="10">
        <f t="shared" si="1"/>
        <v>5.5695991448896836</v>
      </c>
      <c r="E7" s="10">
        <f t="shared" si="3"/>
        <v>2.3581357748793463</v>
      </c>
      <c r="F7" s="10">
        <f t="shared" si="2"/>
        <v>5.560804332765815</v>
      </c>
      <c r="H7" s="1"/>
      <c r="I7" s="1">
        <v>0.3125</v>
      </c>
      <c r="J7" s="1">
        <v>64</v>
      </c>
      <c r="K7" s="1">
        <v>2.6754171119999999</v>
      </c>
      <c r="L7" s="1">
        <v>2.2964463890000002</v>
      </c>
      <c r="M7" s="1">
        <v>5.273666017</v>
      </c>
    </row>
    <row r="8" spans="1:13">
      <c r="B8" s="10">
        <f t="shared" si="0"/>
        <v>0.625</v>
      </c>
      <c r="C8" s="10">
        <v>56</v>
      </c>
      <c r="D8" s="10">
        <f t="shared" si="1"/>
        <v>10.894621067291846</v>
      </c>
      <c r="E8" s="10">
        <f t="shared" si="3"/>
        <v>0.53311385247718412</v>
      </c>
      <c r="F8" s="10">
        <f t="shared" si="2"/>
        <v>0.28421037970306484</v>
      </c>
      <c r="H8" s="1"/>
      <c r="I8" s="1">
        <v>0.625</v>
      </c>
      <c r="J8" s="1">
        <v>46</v>
      </c>
      <c r="K8" s="1">
        <v>5.2896049659999997</v>
      </c>
      <c r="L8" s="1">
        <v>-18.317741470000001</v>
      </c>
      <c r="M8" s="1">
        <v>335.53965240000002</v>
      </c>
    </row>
    <row r="9" spans="1:13">
      <c r="B9" s="10">
        <f t="shared" si="0"/>
        <v>1.25</v>
      </c>
      <c r="C9" s="10">
        <v>81</v>
      </c>
      <c r="D9" s="10">
        <f t="shared" si="1"/>
        <v>20.868195058218866</v>
      </c>
      <c r="E9" s="10">
        <f t="shared" si="3"/>
        <v>15.559539861550164</v>
      </c>
      <c r="F9" s="10">
        <f t="shared" si="2"/>
        <v>242.09928070316849</v>
      </c>
      <c r="H9" s="1"/>
      <c r="I9" s="1">
        <v>1.25</v>
      </c>
      <c r="J9" s="1">
        <v>58.5</v>
      </c>
      <c r="K9" s="1">
        <v>10.342208510000001</v>
      </c>
      <c r="L9" s="1">
        <v>-10.870345009999999</v>
      </c>
      <c r="M9" s="1">
        <v>118.16440059999999</v>
      </c>
    </row>
    <row r="10" spans="1:13">
      <c r="B10" s="10">
        <f t="shared" si="0"/>
        <v>2.5</v>
      </c>
      <c r="C10" s="10">
        <v>96.5</v>
      </c>
      <c r="D10" s="10">
        <f t="shared" si="1"/>
        <v>38.456515681458107</v>
      </c>
      <c r="E10" s="10">
        <f t="shared" si="3"/>
        <v>13.471219238310923</v>
      </c>
      <c r="F10" s="10">
        <f t="shared" si="2"/>
        <v>181.47374776663833</v>
      </c>
      <c r="H10" s="1"/>
      <c r="I10" s="1">
        <v>2.5</v>
      </c>
      <c r="J10" s="1">
        <v>81</v>
      </c>
      <c r="K10" s="1">
        <v>19.795326360000001</v>
      </c>
      <c r="L10" s="1">
        <v>2.176537137</v>
      </c>
      <c r="M10" s="1">
        <v>4.737313908</v>
      </c>
    </row>
    <row r="11" spans="1:13">
      <c r="B11" s="10">
        <f t="shared" si="0"/>
        <v>5</v>
      </c>
      <c r="C11" s="10">
        <v>121</v>
      </c>
      <c r="D11" s="10">
        <f t="shared" si="1"/>
        <v>66.344596155741556</v>
      </c>
      <c r="E11" s="10">
        <f t="shared" si="3"/>
        <v>10.083138764027467</v>
      </c>
      <c r="F11" s="10">
        <f t="shared" si="2"/>
        <v>101.66968733463335</v>
      </c>
      <c r="H11" s="1"/>
      <c r="I11" s="1">
        <v>5</v>
      </c>
      <c r="J11" s="1">
        <v>105.5</v>
      </c>
      <c r="K11" s="1">
        <v>36.444460640000003</v>
      </c>
      <c r="L11" s="1">
        <v>10.02740286</v>
      </c>
      <c r="M11" s="1">
        <v>100.5488082</v>
      </c>
    </row>
    <row r="12" spans="1:13">
      <c r="B12" s="10">
        <f t="shared" si="0"/>
        <v>10</v>
      </c>
      <c r="C12" s="10">
        <v>146</v>
      </c>
      <c r="D12" s="10">
        <f t="shared" si="1"/>
        <v>103.70831367856128</v>
      </c>
      <c r="E12" s="10">
        <f t="shared" si="3"/>
        <v>-2.2805787587922595</v>
      </c>
      <c r="F12" s="10">
        <f t="shared" si="2"/>
        <v>5.2010394750544426</v>
      </c>
      <c r="H12" s="1"/>
      <c r="I12" s="1">
        <v>10</v>
      </c>
      <c r="J12" s="1">
        <v>124</v>
      </c>
      <c r="K12" s="1">
        <v>62.8378066</v>
      </c>
      <c r="L12" s="1">
        <v>2.1340568960000001</v>
      </c>
      <c r="M12" s="1">
        <v>4.5541988340000001</v>
      </c>
    </row>
    <row r="13" spans="1:13">
      <c r="B13" s="10">
        <f t="shared" si="0"/>
        <v>20</v>
      </c>
      <c r="C13" s="10">
        <v>171</v>
      </c>
      <c r="D13" s="10">
        <f t="shared" si="1"/>
        <v>143.67448379816858</v>
      </c>
      <c r="E13" s="10">
        <f t="shared" si="3"/>
        <v>-17.246748878399558</v>
      </c>
      <c r="F13" s="10">
        <f t="shared" si="2"/>
        <v>297.45034687457638</v>
      </c>
      <c r="H13" s="1"/>
      <c r="I13" s="1">
        <v>20</v>
      </c>
      <c r="J13" s="1">
        <v>142.5</v>
      </c>
      <c r="K13" s="1">
        <v>98.338651249999998</v>
      </c>
      <c r="L13" s="1">
        <v>-14.86678775</v>
      </c>
      <c r="M13" s="1">
        <v>221.021378</v>
      </c>
    </row>
    <row r="14" spans="1:13">
      <c r="B14" s="10">
        <f t="shared" si="0"/>
        <v>40</v>
      </c>
      <c r="C14" s="10">
        <v>217</v>
      </c>
      <c r="D14" s="10">
        <f t="shared" si="1"/>
        <v>177.27325856988719</v>
      </c>
      <c r="E14" s="10">
        <f t="shared" si="3"/>
        <v>-4.8455236501181673</v>
      </c>
      <c r="F14" s="10">
        <f t="shared" si="2"/>
        <v>23.479099443854487</v>
      </c>
      <c r="H14" s="1"/>
      <c r="I14" s="1">
        <v>40</v>
      </c>
      <c r="J14" s="1">
        <v>192.5</v>
      </c>
      <c r="K14" s="1">
        <v>136.74486759999999</v>
      </c>
      <c r="L14" s="1">
        <v>-3.273004094</v>
      </c>
      <c r="M14" s="1">
        <v>10.712555800000001</v>
      </c>
    </row>
    <row r="15" spans="1:13">
      <c r="B15" s="10">
        <f t="shared" si="0"/>
        <v>80</v>
      </c>
      <c r="C15" s="10">
        <v>251.5</v>
      </c>
      <c r="D15" s="10">
        <f t="shared" si="1"/>
        <v>200.32518630669861</v>
      </c>
      <c r="E15" s="10">
        <f t="shared" si="3"/>
        <v>6.602548613070411</v>
      </c>
      <c r="F15" s="10">
        <f t="shared" si="2"/>
        <v>43.59364818795801</v>
      </c>
      <c r="H15" s="1"/>
      <c r="I15" s="1">
        <v>80</v>
      </c>
      <c r="J15" s="1">
        <v>248</v>
      </c>
      <c r="K15" s="1">
        <v>169.60750329999999</v>
      </c>
      <c r="L15" s="1">
        <v>19.3643602</v>
      </c>
      <c r="M15" s="1">
        <v>374.9784459</v>
      </c>
    </row>
    <row r="16" spans="1:13">
      <c r="B16" s="10">
        <f t="shared" si="0"/>
        <v>160</v>
      </c>
      <c r="C16" s="10">
        <v>249</v>
      </c>
      <c r="D16" s="10">
        <f t="shared" si="1"/>
        <v>214.07989731241452</v>
      </c>
      <c r="E16" s="10">
        <f t="shared" si="3"/>
        <v>-9.6521623926454936</v>
      </c>
      <c r="F16" s="10">
        <f t="shared" si="2"/>
        <v>93.164238853999976</v>
      </c>
      <c r="H16" s="1"/>
      <c r="I16" s="1">
        <v>160</v>
      </c>
      <c r="J16" s="1">
        <v>256.5</v>
      </c>
      <c r="K16" s="1">
        <v>192.57041609999999</v>
      </c>
      <c r="L16" s="1">
        <v>4.9014473900000004</v>
      </c>
      <c r="M16" s="1">
        <v>24.024186520000001</v>
      </c>
    </row>
    <row r="17" spans="1:13">
      <c r="B17" s="10">
        <v>320</v>
      </c>
      <c r="C17" s="10">
        <v>279</v>
      </c>
      <c r="D17" s="10">
        <f t="shared" si="1"/>
        <v>221.63267242365947</v>
      </c>
      <c r="E17" s="10">
        <f t="shared" si="3"/>
        <v>12.795062496109551</v>
      </c>
      <c r="F17" s="10">
        <f t="shared" si="2"/>
        <v>163.71362427934918</v>
      </c>
      <c r="H17" s="1"/>
      <c r="I17" s="1">
        <v>320</v>
      </c>
      <c r="J17" s="1">
        <v>252.5</v>
      </c>
      <c r="K17" s="1">
        <v>206.46659009999999</v>
      </c>
      <c r="L17" s="1">
        <v>-12.99472658</v>
      </c>
      <c r="M17" s="1">
        <v>168.86291890000001</v>
      </c>
    </row>
    <row r="18" spans="1:13">
      <c r="H18" s="1"/>
      <c r="I18" s="1"/>
      <c r="J18" s="1"/>
      <c r="K18" s="1"/>
      <c r="L18" s="1"/>
      <c r="M18" s="1"/>
    </row>
    <row r="19" spans="1:13" ht="16">
      <c r="A19" s="10" t="s">
        <v>104</v>
      </c>
      <c r="B19" s="10" t="s">
        <v>82</v>
      </c>
      <c r="C19" s="63" t="s">
        <v>81</v>
      </c>
      <c r="D19" s="63" t="s">
        <v>166</v>
      </c>
      <c r="E19" s="63"/>
      <c r="F19" s="10" t="s">
        <v>79</v>
      </c>
      <c r="H19" s="1" t="s">
        <v>104</v>
      </c>
      <c r="I19" s="1" t="s">
        <v>82</v>
      </c>
      <c r="J19" s="53" t="s">
        <v>81</v>
      </c>
      <c r="K19" s="53" t="s">
        <v>167</v>
      </c>
      <c r="L19" s="1"/>
      <c r="M19" s="1" t="s">
        <v>79</v>
      </c>
    </row>
    <row r="20" spans="1:13" ht="16">
      <c r="A20" s="10">
        <v>44.57226508023097</v>
      </c>
      <c r="B20" s="63">
        <v>11.599269580636937</v>
      </c>
      <c r="C20" s="63">
        <v>229.69064868223441</v>
      </c>
      <c r="D20" s="63">
        <v>1</v>
      </c>
      <c r="E20" s="63"/>
      <c r="F20" s="10">
        <f>SUM(F4:F17)</f>
        <v>1611.8184338028464</v>
      </c>
      <c r="H20" s="1">
        <v>59.028136500000002</v>
      </c>
      <c r="I20" s="53">
        <v>24.681153460000001</v>
      </c>
      <c r="J20" s="53">
        <v>222.43739540000001</v>
      </c>
      <c r="K20" s="53">
        <v>1</v>
      </c>
      <c r="L20" s="1"/>
      <c r="M20" s="1">
        <v>1682.3363199999999</v>
      </c>
    </row>
    <row r="21" spans="1:13">
      <c r="H21" s="1"/>
      <c r="I21" s="1"/>
      <c r="J21" s="1"/>
      <c r="K21" s="1"/>
      <c r="L21" s="1"/>
      <c r="M21" s="1"/>
    </row>
    <row r="22" spans="1:13">
      <c r="A22" s="62"/>
      <c r="B22" s="10" t="s">
        <v>90</v>
      </c>
      <c r="C22" s="10" t="s">
        <v>89</v>
      </c>
      <c r="D22" s="10" t="s">
        <v>88</v>
      </c>
      <c r="E22" s="10" t="s">
        <v>87</v>
      </c>
      <c r="F22" s="10" t="s">
        <v>86</v>
      </c>
      <c r="H22" s="1"/>
      <c r="I22" s="1" t="s">
        <v>90</v>
      </c>
      <c r="J22" s="1" t="s">
        <v>89</v>
      </c>
      <c r="K22" s="1" t="s">
        <v>88</v>
      </c>
      <c r="L22" s="1" t="s">
        <v>87</v>
      </c>
      <c r="M22" s="1" t="s">
        <v>86</v>
      </c>
    </row>
    <row r="23" spans="1:13">
      <c r="H23" s="1"/>
      <c r="I23" s="1"/>
      <c r="J23" s="1"/>
      <c r="K23" s="1"/>
      <c r="L23" s="1"/>
      <c r="M23" s="1"/>
    </row>
    <row r="24" spans="1:13">
      <c r="A24" s="10" t="s">
        <v>105</v>
      </c>
      <c r="H24" s="1" t="s">
        <v>105</v>
      </c>
      <c r="I24" s="1"/>
      <c r="J24" s="1"/>
      <c r="K24" s="1"/>
      <c r="L24" s="1"/>
      <c r="M24" s="1"/>
    </row>
    <row r="25" spans="1:13">
      <c r="B25" s="10">
        <f t="shared" ref="B25:B36" si="4">B26/2</f>
        <v>7.8125E-2</v>
      </c>
      <c r="C25" s="10">
        <v>57.5</v>
      </c>
      <c r="D25" s="10">
        <f t="shared" ref="D25:D37" si="5" xml:space="preserve"> (B$40+B25+D$40-((B$40+B25+D$40)^2-4*D$40*B25)^0.5)*C$40/(2*D$40)</f>
        <v>0.16083680697180888</v>
      </c>
      <c r="E25" s="10">
        <f>(C25-A$40)-D25</f>
        <v>-23.524127233819691</v>
      </c>
      <c r="F25" s="10">
        <f t="shared" ref="F25:F37" si="6">E25*E25</f>
        <v>553.38456211293726</v>
      </c>
      <c r="H25" s="1"/>
      <c r="I25" s="1">
        <v>7.8125E-2</v>
      </c>
      <c r="J25" s="1">
        <v>83</v>
      </c>
      <c r="K25" s="1">
        <v>0.12831909890000001</v>
      </c>
      <c r="L25" s="1">
        <v>2.0898685420000001</v>
      </c>
      <c r="M25" s="1">
        <v>4.3675505210000001</v>
      </c>
    </row>
    <row r="26" spans="1:13">
      <c r="B26" s="10">
        <f t="shared" si="4"/>
        <v>0.15625</v>
      </c>
      <c r="C26" s="10">
        <v>64.5</v>
      </c>
      <c r="D26" s="10">
        <f t="shared" si="5"/>
        <v>0.32146612370455979</v>
      </c>
      <c r="E26" s="10">
        <f t="shared" ref="E26:E37" si="7">(C26-A$40)-D26</f>
        <v>-16.684756550552443</v>
      </c>
      <c r="F26" s="10">
        <f t="shared" si="6"/>
        <v>278.38110115120264</v>
      </c>
      <c r="H26" s="1"/>
      <c r="I26" s="1">
        <v>0.15625</v>
      </c>
      <c r="J26" s="1">
        <v>88</v>
      </c>
      <c r="K26" s="1">
        <v>0.2565099381</v>
      </c>
      <c r="L26" s="1">
        <v>6.9616777020000002</v>
      </c>
      <c r="M26" s="1">
        <v>48.464956430000001</v>
      </c>
    </row>
    <row r="27" spans="1:13">
      <c r="B27" s="10">
        <f t="shared" si="4"/>
        <v>0.3125</v>
      </c>
      <c r="C27" s="10">
        <v>67.5</v>
      </c>
      <c r="D27" s="10">
        <f t="shared" si="5"/>
        <v>0.64210387702671723</v>
      </c>
      <c r="E27" s="10">
        <f t="shared" si="7"/>
        <v>-14.005394303874599</v>
      </c>
      <c r="F27" s="10">
        <f t="shared" si="6"/>
        <v>196.15106960700308</v>
      </c>
      <c r="H27" s="1"/>
      <c r="I27" s="1">
        <v>0.3125</v>
      </c>
      <c r="J27" s="1">
        <v>84</v>
      </c>
      <c r="K27" s="1">
        <v>0.5125076006</v>
      </c>
      <c r="L27" s="1">
        <v>2.7056800399999998</v>
      </c>
      <c r="M27" s="1">
        <v>7.3207044789999998</v>
      </c>
    </row>
    <row r="28" spans="1:13">
      <c r="B28" s="10">
        <f t="shared" si="4"/>
        <v>0.625</v>
      </c>
      <c r="C28" s="10">
        <v>84.5</v>
      </c>
      <c r="D28" s="10">
        <f t="shared" si="5"/>
        <v>1.2809069408345672</v>
      </c>
      <c r="E28" s="10">
        <f t="shared" si="7"/>
        <v>2.35580263231755</v>
      </c>
      <c r="F28" s="10">
        <f t="shared" si="6"/>
        <v>5.5498060424342981</v>
      </c>
      <c r="H28" s="1"/>
      <c r="I28" s="1">
        <v>0.625</v>
      </c>
      <c r="J28" s="1">
        <v>67</v>
      </c>
      <c r="K28" s="1">
        <v>1.022972185</v>
      </c>
      <c r="L28" s="1">
        <v>-14.80478454</v>
      </c>
      <c r="M28" s="1">
        <v>219.18164540000001</v>
      </c>
    </row>
    <row r="29" spans="1:13">
      <c r="B29" s="10">
        <f t="shared" si="4"/>
        <v>1.25</v>
      </c>
      <c r="C29" s="10">
        <v>96</v>
      </c>
      <c r="D29" s="10">
        <f t="shared" si="5"/>
        <v>2.5487110833170905</v>
      </c>
      <c r="E29" s="10">
        <f t="shared" si="7"/>
        <v>12.587998489835027</v>
      </c>
      <c r="F29" s="10">
        <f t="shared" si="6"/>
        <v>158.45770598008892</v>
      </c>
      <c r="H29" s="1"/>
      <c r="I29" s="1">
        <v>1.25</v>
      </c>
      <c r="J29" s="1">
        <v>73</v>
      </c>
      <c r="K29" s="1">
        <v>2.0378206680000002</v>
      </c>
      <c r="L29" s="1">
        <v>-9.8196330270000001</v>
      </c>
      <c r="M29" s="1">
        <v>96.425192789999997</v>
      </c>
    </row>
    <row r="30" spans="1:13">
      <c r="B30" s="10">
        <f t="shared" si="4"/>
        <v>2.5</v>
      </c>
      <c r="C30" s="10">
        <v>98.5</v>
      </c>
      <c r="D30" s="10">
        <f t="shared" si="5"/>
        <v>5.0458006019578976</v>
      </c>
      <c r="E30" s="10">
        <f t="shared" si="7"/>
        <v>12.590908971194221</v>
      </c>
      <c r="F30" s="10">
        <f t="shared" si="6"/>
        <v>158.5309887208991</v>
      </c>
      <c r="H30" s="1"/>
      <c r="I30" s="1">
        <v>2.5</v>
      </c>
      <c r="J30" s="1">
        <v>92</v>
      </c>
      <c r="K30" s="1">
        <v>4.0435281359999999</v>
      </c>
      <c r="L30" s="1">
        <v>7.1746595040000001</v>
      </c>
      <c r="M30" s="1">
        <v>51.475738999999997</v>
      </c>
    </row>
    <row r="31" spans="1:13">
      <c r="B31" s="10">
        <f t="shared" si="4"/>
        <v>5</v>
      </c>
      <c r="C31" s="10">
        <v>106</v>
      </c>
      <c r="D31" s="10">
        <f t="shared" si="5"/>
        <v>9.8912159951626073</v>
      </c>
      <c r="E31" s="10">
        <f t="shared" si="7"/>
        <v>15.24549357798951</v>
      </c>
      <c r="F31" s="10">
        <f t="shared" si="6"/>
        <v>232.4250744365194</v>
      </c>
      <c r="H31" s="1"/>
      <c r="I31" s="1">
        <v>5</v>
      </c>
      <c r="J31" s="1">
        <v>102.5</v>
      </c>
      <c r="K31" s="1">
        <v>7.9615745159999998</v>
      </c>
      <c r="L31" s="1">
        <v>13.756613120000001</v>
      </c>
      <c r="M31" s="1">
        <v>189.24440469999999</v>
      </c>
    </row>
    <row r="32" spans="1:13">
      <c r="B32" s="10">
        <f t="shared" si="4"/>
        <v>10</v>
      </c>
      <c r="C32" s="10">
        <v>111.5</v>
      </c>
      <c r="D32" s="10">
        <f t="shared" si="5"/>
        <v>19.026485712731645</v>
      </c>
      <c r="E32" s="10">
        <f t="shared" si="7"/>
        <v>11.610223860420472</v>
      </c>
      <c r="F32" s="10">
        <f t="shared" si="6"/>
        <v>134.79729808907686</v>
      </c>
      <c r="H32" s="1"/>
      <c r="I32" s="1">
        <v>10</v>
      </c>
      <c r="J32" s="1">
        <v>91</v>
      </c>
      <c r="K32" s="1">
        <v>15.443753190000001</v>
      </c>
      <c r="L32" s="1">
        <v>-5.2255655499999998</v>
      </c>
      <c r="M32" s="1">
        <v>27.306535310000001</v>
      </c>
    </row>
    <row r="33" spans="1:13">
      <c r="B33" s="10">
        <f t="shared" si="4"/>
        <v>20</v>
      </c>
      <c r="C33" s="10">
        <v>123.5</v>
      </c>
      <c r="D33" s="10">
        <f t="shared" si="5"/>
        <v>35.34922546204303</v>
      </c>
      <c r="E33" s="10">
        <f t="shared" si="7"/>
        <v>7.2874841111090873</v>
      </c>
      <c r="F33" s="10">
        <f t="shared" si="6"/>
        <v>53.107424669667402</v>
      </c>
      <c r="H33" s="1"/>
      <c r="I33" s="1">
        <v>20</v>
      </c>
      <c r="J33" s="1">
        <v>110.5</v>
      </c>
      <c r="K33" s="1">
        <v>29.132450980000002</v>
      </c>
      <c r="L33" s="1">
        <v>0.58573666150000003</v>
      </c>
      <c r="M33" s="1">
        <v>0.34308743660000002</v>
      </c>
    </row>
    <row r="34" spans="1:13">
      <c r="B34" s="10">
        <f t="shared" si="4"/>
        <v>40</v>
      </c>
      <c r="C34" s="10">
        <v>148</v>
      </c>
      <c r="D34" s="10">
        <f t="shared" si="5"/>
        <v>61.892348449034223</v>
      </c>
      <c r="E34" s="10">
        <f t="shared" si="7"/>
        <v>5.2443611241178942</v>
      </c>
      <c r="F34" s="10">
        <f t="shared" si="6"/>
        <v>27.503323600159103</v>
      </c>
      <c r="H34" s="1"/>
      <c r="I34" s="1">
        <v>40</v>
      </c>
      <c r="J34" s="1">
        <v>126.5</v>
      </c>
      <c r="K34" s="1">
        <v>52.314834679999997</v>
      </c>
      <c r="L34" s="1">
        <v>-6.5966470380000004</v>
      </c>
      <c r="M34" s="1">
        <v>43.515752149999997</v>
      </c>
    </row>
    <row r="35" spans="1:13">
      <c r="B35" s="10">
        <f t="shared" si="4"/>
        <v>80</v>
      </c>
      <c r="C35" s="10">
        <v>172</v>
      </c>
      <c r="D35" s="10">
        <f t="shared" si="5"/>
        <v>99.065760558457839</v>
      </c>
      <c r="E35" s="10">
        <f t="shared" si="7"/>
        <v>-7.9290509853057216</v>
      </c>
      <c r="F35" s="10">
        <f t="shared" si="6"/>
        <v>62.869849527577635</v>
      </c>
      <c r="H35" s="1"/>
      <c r="I35" s="1">
        <v>80</v>
      </c>
      <c r="J35" s="1">
        <v>167</v>
      </c>
      <c r="K35" s="1">
        <v>86.867120799999995</v>
      </c>
      <c r="L35" s="1">
        <v>-0.64893315760000003</v>
      </c>
      <c r="M35" s="1">
        <v>0.42111424310000001</v>
      </c>
    </row>
    <row r="36" spans="1:13">
      <c r="B36" s="10">
        <f t="shared" si="4"/>
        <v>160</v>
      </c>
      <c r="C36" s="10">
        <v>206.5</v>
      </c>
      <c r="D36" s="10">
        <f t="shared" si="5"/>
        <v>141.51920506299939</v>
      </c>
      <c r="E36" s="10">
        <f t="shared" si="7"/>
        <v>-15.882495489847273</v>
      </c>
      <c r="F36" s="10">
        <f t="shared" si="6"/>
        <v>252.25366298501896</v>
      </c>
      <c r="H36" s="1"/>
      <c r="I36" s="1">
        <v>160</v>
      </c>
      <c r="J36" s="1">
        <v>217.5</v>
      </c>
      <c r="K36" s="1">
        <v>129.65519549999999</v>
      </c>
      <c r="L36" s="1">
        <v>7.062992114</v>
      </c>
      <c r="M36" s="1">
        <v>49.885857600000001</v>
      </c>
    </row>
    <row r="37" spans="1:13">
      <c r="B37" s="10">
        <v>320</v>
      </c>
      <c r="C37" s="10">
        <v>272</v>
      </c>
      <c r="D37" s="10">
        <f t="shared" si="5"/>
        <v>180.03453882228254</v>
      </c>
      <c r="E37" s="10">
        <f t="shared" si="7"/>
        <v>11.10217075086959</v>
      </c>
      <c r="F37" s="10">
        <f t="shared" si="6"/>
        <v>123.25819538146423</v>
      </c>
      <c r="H37" s="1"/>
      <c r="I37" s="1">
        <v>320</v>
      </c>
      <c r="J37" s="1">
        <v>249.5</v>
      </c>
      <c r="K37" s="1">
        <v>171.9599054</v>
      </c>
      <c r="L37" s="1">
        <v>-3.2417177800000001</v>
      </c>
      <c r="M37" s="1">
        <v>10.50873417</v>
      </c>
    </row>
    <row r="38" spans="1:13">
      <c r="H38" s="1"/>
      <c r="I38" s="1"/>
      <c r="J38" s="1"/>
      <c r="K38" s="1"/>
      <c r="L38" s="1"/>
      <c r="M38" s="1"/>
    </row>
    <row r="39" spans="1:13" ht="16">
      <c r="A39" s="10" t="s">
        <v>104</v>
      </c>
      <c r="B39" s="10" t="s">
        <v>82</v>
      </c>
      <c r="C39" s="63" t="s">
        <v>81</v>
      </c>
      <c r="D39" s="63" t="s">
        <v>166</v>
      </c>
      <c r="E39" s="63"/>
      <c r="F39" s="10" t="s">
        <v>79</v>
      </c>
      <c r="H39" s="1" t="s">
        <v>104</v>
      </c>
      <c r="I39" s="1" t="s">
        <v>82</v>
      </c>
      <c r="J39" s="53" t="s">
        <v>81</v>
      </c>
      <c r="K39" s="53" t="s">
        <v>167</v>
      </c>
      <c r="L39" s="1"/>
      <c r="M39" s="1" t="s">
        <v>79</v>
      </c>
    </row>
    <row r="40" spans="1:13" ht="16">
      <c r="A40" s="10">
        <v>80.863290426847882</v>
      </c>
      <c r="B40" s="63">
        <v>118.95506228505334</v>
      </c>
      <c r="C40" s="63">
        <v>247.11231859953912</v>
      </c>
      <c r="D40" s="63">
        <v>1</v>
      </c>
      <c r="E40" s="63"/>
      <c r="F40" s="10">
        <f>SUM(F24:F38)</f>
        <v>2236.6700623040488</v>
      </c>
      <c r="H40" s="1">
        <v>80.781812360000004</v>
      </c>
      <c r="I40" s="53">
        <v>154.1610585</v>
      </c>
      <c r="J40" s="53">
        <v>254.97712079999999</v>
      </c>
      <c r="K40" s="53">
        <v>1</v>
      </c>
      <c r="L40" s="1"/>
      <c r="M40" s="1">
        <v>748.46127420000005</v>
      </c>
    </row>
    <row r="41" spans="1:13">
      <c r="H41" s="1"/>
      <c r="I41" s="1"/>
      <c r="J41" s="1"/>
      <c r="K41" s="1"/>
      <c r="L41" s="1"/>
      <c r="M41" s="1"/>
    </row>
    <row r="42" spans="1:13">
      <c r="A42" s="62"/>
      <c r="B42" s="10" t="s">
        <v>90</v>
      </c>
      <c r="C42" s="10" t="s">
        <v>89</v>
      </c>
      <c r="D42" s="10" t="s">
        <v>88</v>
      </c>
      <c r="E42" s="10" t="s">
        <v>87</v>
      </c>
      <c r="F42" s="10" t="s">
        <v>86</v>
      </c>
      <c r="H42" s="1"/>
      <c r="I42" s="1" t="s">
        <v>90</v>
      </c>
      <c r="J42" s="1" t="s">
        <v>89</v>
      </c>
      <c r="K42" s="1" t="s">
        <v>88</v>
      </c>
      <c r="L42" s="1" t="s">
        <v>87</v>
      </c>
      <c r="M42" s="1" t="s">
        <v>86</v>
      </c>
    </row>
    <row r="43" spans="1:13">
      <c r="H43" s="1"/>
      <c r="I43" s="1"/>
      <c r="J43" s="1"/>
      <c r="K43" s="1"/>
      <c r="L43" s="1"/>
      <c r="M43" s="1"/>
    </row>
    <row r="44" spans="1:13">
      <c r="A44" s="10" t="s">
        <v>106</v>
      </c>
      <c r="H44" s="1" t="s">
        <v>106</v>
      </c>
      <c r="I44" s="1"/>
      <c r="J44" s="1"/>
      <c r="K44" s="1"/>
      <c r="L44" s="1"/>
      <c r="M44" s="1"/>
    </row>
    <row r="45" spans="1:13">
      <c r="B45" s="10">
        <f t="shared" ref="B45:B56" si="8">B46/2</f>
        <v>7.8125E-2</v>
      </c>
      <c r="C45" s="10">
        <v>63</v>
      </c>
      <c r="D45" s="10">
        <f t="shared" ref="D45:D57" si="9" xml:space="preserve"> (B$60+B45+D$60-((B$60+B45+D$60)^2-4*D$60*B45)^0.5)*C$60/(2*D$60)</f>
        <v>1.1161782358552339</v>
      </c>
      <c r="E45" s="10">
        <f>(C45-A$60)-D45</f>
        <v>-14.447679953445519</v>
      </c>
      <c r="F45" s="10">
        <f t="shared" ref="F45:F57" si="10">E45*E45</f>
        <v>208.73545603719151</v>
      </c>
      <c r="H45" s="1"/>
      <c r="I45" s="1">
        <v>7.8125E-2</v>
      </c>
      <c r="J45" s="1">
        <v>86.5</v>
      </c>
      <c r="K45" s="1">
        <v>0.60039879429999998</v>
      </c>
      <c r="L45" s="1">
        <v>4.4366995999999999</v>
      </c>
      <c r="M45" s="1">
        <v>19.68430334</v>
      </c>
    </row>
    <row r="46" spans="1:13">
      <c r="B46" s="10">
        <f t="shared" si="8"/>
        <v>0.15625</v>
      </c>
      <c r="C46" s="10">
        <v>66</v>
      </c>
      <c r="D46" s="10">
        <f t="shared" si="9"/>
        <v>2.2214332121625229</v>
      </c>
      <c r="E46" s="10">
        <f t="shared" ref="E46:E57" si="11">(C46-A$60)-D46</f>
        <v>-12.552934929752809</v>
      </c>
      <c r="F46" s="10">
        <f t="shared" si="10"/>
        <v>157.57617535060814</v>
      </c>
      <c r="H46" s="1"/>
      <c r="I46" s="1">
        <v>0.15625</v>
      </c>
      <c r="J46" s="1">
        <v>79</v>
      </c>
      <c r="K46" s="1">
        <v>1.1977518380000001</v>
      </c>
      <c r="L46" s="1">
        <v>-3.6606534439999998</v>
      </c>
      <c r="M46" s="1">
        <v>13.400383639999999</v>
      </c>
    </row>
    <row r="47" spans="1:13">
      <c r="B47" s="10">
        <f t="shared" si="8"/>
        <v>0.3125</v>
      </c>
      <c r="C47" s="10">
        <v>87.5</v>
      </c>
      <c r="D47" s="10">
        <f t="shared" si="9"/>
        <v>4.3997641386727642</v>
      </c>
      <c r="E47" s="10">
        <f t="shared" si="11"/>
        <v>6.7687341437369506</v>
      </c>
      <c r="F47" s="10">
        <f t="shared" si="10"/>
        <v>45.815761908590389</v>
      </c>
      <c r="H47" s="1"/>
      <c r="I47" s="1">
        <v>0.3125</v>
      </c>
      <c r="J47" s="1">
        <v>75</v>
      </c>
      <c r="K47" s="1">
        <v>2.383409753</v>
      </c>
      <c r="L47" s="1">
        <v>-8.8463113589999995</v>
      </c>
      <c r="M47" s="1">
        <v>78.257224660000006</v>
      </c>
    </row>
    <row r="48" spans="1:13">
      <c r="B48" s="10">
        <f t="shared" si="8"/>
        <v>0.625</v>
      </c>
      <c r="C48" s="10">
        <v>93.5</v>
      </c>
      <c r="D48" s="10">
        <f t="shared" si="9"/>
        <v>8.6317101586832639</v>
      </c>
      <c r="E48" s="10">
        <f t="shared" si="11"/>
        <v>8.5367881237264509</v>
      </c>
      <c r="F48" s="10">
        <f t="shared" si="10"/>
        <v>72.876751469396979</v>
      </c>
      <c r="H48" s="1"/>
      <c r="I48" s="1">
        <v>0.625</v>
      </c>
      <c r="J48" s="1">
        <v>75.5</v>
      </c>
      <c r="K48" s="1">
        <v>4.719144827</v>
      </c>
      <c r="L48" s="1">
        <v>-10.68204643</v>
      </c>
      <c r="M48" s="1">
        <v>114.106116</v>
      </c>
    </row>
    <row r="49" spans="1:13">
      <c r="B49" s="10">
        <f t="shared" si="8"/>
        <v>1.25</v>
      </c>
      <c r="C49" s="10">
        <v>98</v>
      </c>
      <c r="D49" s="10">
        <f t="shared" si="9"/>
        <v>16.62683214217224</v>
      </c>
      <c r="E49" s="10">
        <f t="shared" si="11"/>
        <v>5.0416661402374743</v>
      </c>
      <c r="F49" s="10">
        <f t="shared" si="10"/>
        <v>25.41839746961703</v>
      </c>
      <c r="H49" s="1"/>
      <c r="I49" s="1">
        <v>1.25</v>
      </c>
      <c r="J49" s="1">
        <v>96</v>
      </c>
      <c r="K49" s="1">
        <v>9.2530194879999996</v>
      </c>
      <c r="L49" s="1">
        <v>5.2840789060000004</v>
      </c>
      <c r="M49" s="1">
        <v>27.921489879999999</v>
      </c>
    </row>
    <row r="50" spans="1:13">
      <c r="B50" s="10">
        <f t="shared" si="8"/>
        <v>2.5</v>
      </c>
      <c r="C50" s="10">
        <v>119.5</v>
      </c>
      <c r="D50" s="10">
        <f t="shared" si="9"/>
        <v>30.955454429796099</v>
      </c>
      <c r="E50" s="10">
        <f t="shared" si="11"/>
        <v>12.213043852613616</v>
      </c>
      <c r="F50" s="10">
        <f t="shared" si="10"/>
        <v>149.15844014586324</v>
      </c>
      <c r="H50" s="1"/>
      <c r="I50" s="1">
        <v>2.5</v>
      </c>
      <c r="J50" s="1">
        <v>103</v>
      </c>
      <c r="K50" s="1">
        <v>17.80569668</v>
      </c>
      <c r="L50" s="1">
        <v>3.7314017150000001</v>
      </c>
      <c r="M50" s="1">
        <v>13.923358759999999</v>
      </c>
    </row>
    <row r="51" spans="1:13">
      <c r="B51" s="10">
        <f t="shared" si="8"/>
        <v>5</v>
      </c>
      <c r="C51" s="10">
        <v>132</v>
      </c>
      <c r="D51" s="10">
        <f t="shared" si="9"/>
        <v>54.32294063888871</v>
      </c>
      <c r="E51" s="10">
        <f t="shared" si="11"/>
        <v>1.3455576435210048</v>
      </c>
      <c r="F51" s="10">
        <f t="shared" si="10"/>
        <v>1.8105253720377994</v>
      </c>
      <c r="H51" s="1"/>
      <c r="I51" s="1">
        <v>5</v>
      </c>
      <c r="J51" s="1">
        <v>129.5</v>
      </c>
      <c r="K51" s="1">
        <v>33.09806099</v>
      </c>
      <c r="L51" s="1">
        <v>14.9390374</v>
      </c>
      <c r="M51" s="1">
        <v>223.17483849999999</v>
      </c>
    </row>
    <row r="52" spans="1:13">
      <c r="B52" s="10">
        <f t="shared" si="8"/>
        <v>10</v>
      </c>
      <c r="C52" s="10">
        <v>163.5</v>
      </c>
      <c r="D52" s="10">
        <f t="shared" si="9"/>
        <v>87.019435473813616</v>
      </c>
      <c r="E52" s="10">
        <f t="shared" si="11"/>
        <v>0.14906280859609922</v>
      </c>
      <c r="F52" s="10">
        <f t="shared" si="10"/>
        <v>2.221972090655731E-2</v>
      </c>
      <c r="H52" s="1"/>
      <c r="I52" s="1">
        <v>10</v>
      </c>
      <c r="J52" s="1">
        <v>143.5</v>
      </c>
      <c r="K52" s="1">
        <v>57.971206449999997</v>
      </c>
      <c r="L52" s="1">
        <v>4.0658919410000003</v>
      </c>
      <c r="M52" s="1">
        <v>16.531477280000001</v>
      </c>
    </row>
    <row r="53" spans="1:13">
      <c r="B53" s="10">
        <f t="shared" si="8"/>
        <v>20</v>
      </c>
      <c r="C53" s="10">
        <v>191</v>
      </c>
      <c r="D53" s="10">
        <f t="shared" si="9"/>
        <v>123.99286705402932</v>
      </c>
      <c r="E53" s="10">
        <f t="shared" si="11"/>
        <v>-9.3243687716196035</v>
      </c>
      <c r="F53" s="10">
        <f t="shared" si="10"/>
        <v>86.943852989154877</v>
      </c>
      <c r="H53" s="1"/>
      <c r="I53" s="1">
        <v>20</v>
      </c>
      <c r="J53" s="1">
        <v>170.5</v>
      </c>
      <c r="K53" s="1">
        <v>92.741418980000006</v>
      </c>
      <c r="L53" s="1">
        <v>-3.7043205810000002</v>
      </c>
      <c r="M53" s="1">
        <v>13.72199097</v>
      </c>
    </row>
    <row r="54" spans="1:13">
      <c r="B54" s="10">
        <f t="shared" si="8"/>
        <v>40</v>
      </c>
      <c r="C54" s="10">
        <v>227</v>
      </c>
      <c r="D54" s="10">
        <f t="shared" si="9"/>
        <v>156.87492141947595</v>
      </c>
      <c r="E54" s="10">
        <f t="shared" si="11"/>
        <v>-6.2064231370662526</v>
      </c>
      <c r="F54" s="10">
        <f t="shared" si="10"/>
        <v>38.519688156311304</v>
      </c>
      <c r="H54" s="1"/>
      <c r="I54" s="1">
        <v>40</v>
      </c>
      <c r="J54" s="1">
        <v>201</v>
      </c>
      <c r="K54" s="1">
        <v>132.21450709999999</v>
      </c>
      <c r="L54" s="1">
        <v>-12.677408679999999</v>
      </c>
      <c r="M54" s="1">
        <v>160.71669080000001</v>
      </c>
    </row>
    <row r="55" spans="1:13">
      <c r="B55" s="10">
        <f t="shared" si="8"/>
        <v>80</v>
      </c>
      <c r="C55" s="10">
        <v>265</v>
      </c>
      <c r="D55" s="10">
        <f t="shared" si="9"/>
        <v>180.47239454069032</v>
      </c>
      <c r="E55" s="10">
        <f t="shared" si="11"/>
        <v>8.1961037417193836</v>
      </c>
      <c r="F55" s="10">
        <f t="shared" si="10"/>
        <v>67.176116545026474</v>
      </c>
      <c r="H55" s="1"/>
      <c r="I55" s="1">
        <v>80</v>
      </c>
      <c r="J55" s="1">
        <v>254.5</v>
      </c>
      <c r="K55" s="1">
        <v>167.6640878</v>
      </c>
      <c r="L55" s="1">
        <v>5.3730105960000003</v>
      </c>
      <c r="M55" s="1">
        <v>28.86924286</v>
      </c>
    </row>
    <row r="56" spans="1:13">
      <c r="B56" s="10">
        <f t="shared" si="8"/>
        <v>160</v>
      </c>
      <c r="C56" s="10">
        <v>273</v>
      </c>
      <c r="D56" s="10">
        <f t="shared" si="9"/>
        <v>194.9765835267614</v>
      </c>
      <c r="E56" s="10">
        <f t="shared" si="11"/>
        <v>1.6919147556482983</v>
      </c>
      <c r="F56" s="10">
        <f t="shared" si="10"/>
        <v>2.8625755403804409</v>
      </c>
      <c r="H56" s="1"/>
      <c r="I56" s="1">
        <v>160</v>
      </c>
      <c r="J56" s="1">
        <v>276</v>
      </c>
      <c r="K56" s="1">
        <v>193.41818190000001</v>
      </c>
      <c r="L56" s="1">
        <v>1.118916537</v>
      </c>
      <c r="M56" s="1">
        <v>1.251974218</v>
      </c>
    </row>
    <row r="57" spans="1:13">
      <c r="B57" s="10">
        <v>320</v>
      </c>
      <c r="C57" s="10">
        <v>278</v>
      </c>
      <c r="D57" s="10">
        <f t="shared" si="9"/>
        <v>203.07947432861155</v>
      </c>
      <c r="E57" s="10">
        <f t="shared" si="11"/>
        <v>-1.4109760462018528</v>
      </c>
      <c r="F57" s="10">
        <f t="shared" si="10"/>
        <v>1.990853402955413</v>
      </c>
      <c r="H57" s="1"/>
      <c r="I57" s="1">
        <v>320</v>
      </c>
      <c r="J57" s="1">
        <v>291.5</v>
      </c>
      <c r="K57" s="1">
        <v>209.4155341</v>
      </c>
      <c r="L57" s="1">
        <v>0.62156424619999995</v>
      </c>
      <c r="M57" s="1">
        <v>0.38634211210000002</v>
      </c>
    </row>
    <row r="58" spans="1:13">
      <c r="H58" s="1"/>
      <c r="I58" s="1"/>
      <c r="J58" s="1"/>
      <c r="K58" s="1"/>
      <c r="L58" s="1"/>
      <c r="M58" s="1"/>
    </row>
    <row r="59" spans="1:13" ht="16">
      <c r="A59" s="10" t="s">
        <v>104</v>
      </c>
      <c r="B59" s="10" t="s">
        <v>82</v>
      </c>
      <c r="C59" s="63" t="s">
        <v>81</v>
      </c>
      <c r="D59" s="63" t="s">
        <v>166</v>
      </c>
      <c r="E59" s="63"/>
      <c r="F59" s="10" t="s">
        <v>79</v>
      </c>
      <c r="H59" s="1" t="s">
        <v>104</v>
      </c>
      <c r="I59" s="1" t="s">
        <v>82</v>
      </c>
      <c r="J59" s="53" t="s">
        <v>81</v>
      </c>
      <c r="K59" s="53" t="s">
        <v>167</v>
      </c>
      <c r="L59" s="1"/>
      <c r="M59" s="1" t="s">
        <v>79</v>
      </c>
    </row>
    <row r="60" spans="1:13" ht="16">
      <c r="A60" s="10">
        <v>76.331501717590285</v>
      </c>
      <c r="B60" s="63">
        <v>13.754132948066136</v>
      </c>
      <c r="C60" s="63">
        <v>211.83439676114884</v>
      </c>
      <c r="D60" s="63">
        <v>1</v>
      </c>
      <c r="E60" s="63"/>
      <c r="F60" s="10">
        <f>SUM(F44:F58)</f>
        <v>858.90681410804018</v>
      </c>
      <c r="H60" s="1">
        <v>81.462901610000003</v>
      </c>
      <c r="I60" s="53">
        <v>28.618012019999998</v>
      </c>
      <c r="J60" s="53">
        <v>228.19769830000001</v>
      </c>
      <c r="K60" s="53">
        <v>1</v>
      </c>
      <c r="L60" s="1"/>
      <c r="M60" s="1">
        <v>711.94543299999998</v>
      </c>
    </row>
    <row r="61" spans="1:13">
      <c r="H61" s="1"/>
      <c r="I61" s="1"/>
      <c r="J61" s="1"/>
      <c r="K61" s="1"/>
      <c r="L61" s="1"/>
      <c r="M61" s="1"/>
    </row>
    <row r="62" spans="1:13">
      <c r="A62" s="62"/>
      <c r="B62" s="10" t="s">
        <v>90</v>
      </c>
      <c r="C62" s="10" t="s">
        <v>89</v>
      </c>
      <c r="D62" s="10" t="s">
        <v>88</v>
      </c>
      <c r="E62" s="10" t="s">
        <v>87</v>
      </c>
      <c r="F62" s="10" t="s">
        <v>86</v>
      </c>
      <c r="H62" s="1"/>
      <c r="I62" s="1" t="s">
        <v>90</v>
      </c>
      <c r="J62" s="1" t="s">
        <v>89</v>
      </c>
      <c r="K62" s="1" t="s">
        <v>88</v>
      </c>
      <c r="L62" s="1" t="s">
        <v>87</v>
      </c>
      <c r="M62" s="1" t="s">
        <v>86</v>
      </c>
    </row>
    <row r="63" spans="1:13">
      <c r="H63" s="1"/>
      <c r="I63" s="1"/>
      <c r="J63" s="1"/>
      <c r="K63" s="1"/>
      <c r="L63" s="1"/>
      <c r="M63" s="1"/>
    </row>
    <row r="64" spans="1:13">
      <c r="A64" s="10" t="s">
        <v>107</v>
      </c>
      <c r="H64" s="1" t="s">
        <v>107</v>
      </c>
      <c r="I64" s="1"/>
      <c r="J64" s="1"/>
      <c r="K64" s="1"/>
      <c r="L64" s="1"/>
      <c r="M64" s="1"/>
    </row>
    <row r="65" spans="1:13">
      <c r="A65" s="10" t="s">
        <v>92</v>
      </c>
      <c r="B65" s="10">
        <f t="shared" ref="B65:B76" si="12">B66/2</f>
        <v>7.8125E-2</v>
      </c>
      <c r="C65" s="10">
        <v>92</v>
      </c>
      <c r="D65" s="10">
        <f t="shared" ref="D65:D77" si="13" xml:space="preserve"> (B$80+B65+D$80-((B$80+B65+D$80)^2-4*D$80*B65)^0.5)*C$80/(2*D$80)</f>
        <v>0.55939131878125581</v>
      </c>
      <c r="E65" s="10">
        <f t="shared" ref="E65:E77" si="14">(C65-A$80)-D65</f>
        <v>-10.334332215400512</v>
      </c>
      <c r="F65" s="10">
        <f t="shared" ref="F65:F77" si="15">E65*E65</f>
        <v>106.79842233826484</v>
      </c>
      <c r="H65" s="1" t="s">
        <v>92</v>
      </c>
      <c r="I65" s="1">
        <v>7.8125E-2</v>
      </c>
      <c r="J65" s="1">
        <v>124.5</v>
      </c>
      <c r="K65" s="1">
        <v>0.2276739217</v>
      </c>
      <c r="L65" s="1">
        <v>16.287612079999999</v>
      </c>
      <c r="M65" s="1">
        <v>265.28630720000001</v>
      </c>
    </row>
    <row r="66" spans="1:13">
      <c r="B66" s="10">
        <f t="shared" si="12"/>
        <v>0.15625</v>
      </c>
      <c r="C66" s="10">
        <v>96</v>
      </c>
      <c r="D66" s="10">
        <f t="shared" si="13"/>
        <v>1.1152580106279439</v>
      </c>
      <c r="E66" s="10">
        <f t="shared" si="14"/>
        <v>-6.8901989072471999</v>
      </c>
      <c r="F66" s="10">
        <f t="shared" si="15"/>
        <v>47.474840981430503</v>
      </c>
      <c r="H66" s="1"/>
      <c r="I66" s="1">
        <v>0.15625</v>
      </c>
      <c r="J66" s="1">
        <v>111.5</v>
      </c>
      <c r="K66" s="1">
        <v>0.4547983008</v>
      </c>
      <c r="L66" s="1">
        <v>3.0604876999999999</v>
      </c>
      <c r="M66" s="1">
        <v>9.3665849619999992</v>
      </c>
    </row>
    <row r="67" spans="1:13">
      <c r="B67" s="10">
        <f t="shared" si="12"/>
        <v>0.3125</v>
      </c>
      <c r="C67" s="10">
        <v>90.5</v>
      </c>
      <c r="D67" s="10">
        <f t="shared" si="13"/>
        <v>2.2165442156786237</v>
      </c>
      <c r="E67" s="10">
        <f t="shared" si="14"/>
        <v>-13.49148511229788</v>
      </c>
      <c r="F67" s="10">
        <f t="shared" si="15"/>
        <v>182.02017053535533</v>
      </c>
      <c r="H67" s="1"/>
      <c r="I67" s="1">
        <v>0.3125</v>
      </c>
      <c r="J67" s="1">
        <v>97</v>
      </c>
      <c r="K67" s="1">
        <v>0.90740624459999997</v>
      </c>
      <c r="L67" s="1">
        <v>-11.892120240000001</v>
      </c>
      <c r="M67" s="1">
        <v>141.42252389999999</v>
      </c>
    </row>
    <row r="68" spans="1:13">
      <c r="B68" s="10">
        <f t="shared" si="12"/>
        <v>0.625</v>
      </c>
      <c r="C68" s="10">
        <v>103.5</v>
      </c>
      <c r="D68" s="10">
        <f t="shared" si="13"/>
        <v>4.3781947903994993</v>
      </c>
      <c r="E68" s="10">
        <f t="shared" si="14"/>
        <v>-2.6531356870187555</v>
      </c>
      <c r="F68" s="10">
        <f t="shared" si="15"/>
        <v>7.0391289737324838</v>
      </c>
      <c r="H68" s="1"/>
      <c r="I68" s="1">
        <v>0.625</v>
      </c>
      <c r="J68" s="1">
        <v>103</v>
      </c>
      <c r="K68" s="1">
        <v>1.806113064</v>
      </c>
      <c r="L68" s="1">
        <v>-6.7908270640000001</v>
      </c>
      <c r="M68" s="1">
        <v>46.115332209999998</v>
      </c>
    </row>
    <row r="69" spans="1:13">
      <c r="B69" s="10">
        <f t="shared" si="12"/>
        <v>1.25</v>
      </c>
      <c r="C69" s="10">
        <v>118</v>
      </c>
      <c r="D69" s="10">
        <f t="shared" si="13"/>
        <v>8.5444556975783907</v>
      </c>
      <c r="E69" s="10">
        <f t="shared" si="14"/>
        <v>7.6806034058023531</v>
      </c>
      <c r="F69" s="10">
        <f t="shared" si="15"/>
        <v>58.991668677222705</v>
      </c>
      <c r="H69" s="1"/>
      <c r="I69" s="1">
        <v>1.25</v>
      </c>
      <c r="J69" s="1">
        <v>100.5</v>
      </c>
      <c r="K69" s="1">
        <v>3.5779164680000002</v>
      </c>
      <c r="L69" s="1">
        <v>-11.06263047</v>
      </c>
      <c r="M69" s="1">
        <v>122.38179289999999</v>
      </c>
    </row>
    <row r="70" spans="1:13">
      <c r="B70" s="10">
        <f t="shared" si="12"/>
        <v>2.5</v>
      </c>
      <c r="C70" s="10">
        <v>138.5</v>
      </c>
      <c r="D70" s="10">
        <f t="shared" si="13"/>
        <v>16.297747485559277</v>
      </c>
      <c r="E70" s="10">
        <f t="shared" si="14"/>
        <v>20.427311617821466</v>
      </c>
      <c r="F70" s="10">
        <f t="shared" si="15"/>
        <v>417.27505993158388</v>
      </c>
      <c r="H70" s="1"/>
      <c r="I70" s="1">
        <v>2.5</v>
      </c>
      <c r="J70" s="1">
        <v>121</v>
      </c>
      <c r="K70" s="1">
        <v>7.0223750989999996</v>
      </c>
      <c r="L70" s="1">
        <v>5.9929109020000002</v>
      </c>
      <c r="M70" s="1">
        <v>35.914981079999997</v>
      </c>
    </row>
    <row r="71" spans="1:13">
      <c r="B71" s="10">
        <f t="shared" si="12"/>
        <v>5</v>
      </c>
      <c r="C71" s="10">
        <v>148</v>
      </c>
      <c r="D71" s="10">
        <f t="shared" si="13"/>
        <v>29.820858003989223</v>
      </c>
      <c r="E71" s="10">
        <f t="shared" si="14"/>
        <v>16.404201099391521</v>
      </c>
      <c r="F71" s="10">
        <f t="shared" si="15"/>
        <v>269.097813709278</v>
      </c>
      <c r="H71" s="1"/>
      <c r="I71" s="1">
        <v>5</v>
      </c>
      <c r="J71" s="1">
        <v>123</v>
      </c>
      <c r="K71" s="1">
        <v>13.539316550000001</v>
      </c>
      <c r="L71" s="1">
        <v>1.475969452</v>
      </c>
      <c r="M71" s="1">
        <v>2.1784858229999999</v>
      </c>
    </row>
    <row r="72" spans="1:13">
      <c r="B72" s="10">
        <f t="shared" si="12"/>
        <v>10</v>
      </c>
      <c r="C72" s="10">
        <v>156</v>
      </c>
      <c r="D72" s="10">
        <f t="shared" si="13"/>
        <v>50.911341385109651</v>
      </c>
      <c r="E72" s="10">
        <f t="shared" si="14"/>
        <v>3.3137177182710928</v>
      </c>
      <c r="F72" s="10">
        <f t="shared" si="15"/>
        <v>10.980725116383779</v>
      </c>
      <c r="H72" s="1"/>
      <c r="I72" s="1">
        <v>10</v>
      </c>
      <c r="J72" s="1">
        <v>137.5</v>
      </c>
      <c r="K72" s="1">
        <v>25.258074740000001</v>
      </c>
      <c r="L72" s="1">
        <v>4.2572112610000001</v>
      </c>
      <c r="M72" s="1">
        <v>18.123847720000001</v>
      </c>
    </row>
    <row r="73" spans="1:13">
      <c r="B73" s="10">
        <f t="shared" si="12"/>
        <v>20</v>
      </c>
      <c r="C73" s="10">
        <v>174</v>
      </c>
      <c r="D73" s="10">
        <f t="shared" si="13"/>
        <v>78.607819039352123</v>
      </c>
      <c r="E73" s="10">
        <f t="shared" si="14"/>
        <v>-6.3827599359713787</v>
      </c>
      <c r="F73" s="10">
        <f t="shared" si="15"/>
        <v>40.739624400241361</v>
      </c>
      <c r="H73" s="1"/>
      <c r="I73" s="1">
        <v>20</v>
      </c>
      <c r="J73" s="1">
        <v>151</v>
      </c>
      <c r="K73" s="1">
        <v>44.516585790000001</v>
      </c>
      <c r="L73" s="1">
        <v>-1.5012997939999999</v>
      </c>
      <c r="M73" s="1">
        <v>2.2539010720000001</v>
      </c>
    </row>
    <row r="74" spans="1:13">
      <c r="B74" s="10">
        <f t="shared" si="12"/>
        <v>40</v>
      </c>
      <c r="C74" s="10">
        <v>195.5</v>
      </c>
      <c r="D74" s="10">
        <f t="shared" si="13"/>
        <v>107.71299181313431</v>
      </c>
      <c r="E74" s="10">
        <f t="shared" si="14"/>
        <v>-13.987932709753565</v>
      </c>
      <c r="F74" s="10">
        <f t="shared" si="15"/>
        <v>195.6622614925937</v>
      </c>
      <c r="H74" s="1"/>
      <c r="I74" s="1">
        <v>40</v>
      </c>
      <c r="J74" s="1">
        <v>183</v>
      </c>
      <c r="K74" s="1">
        <v>71.902373890000007</v>
      </c>
      <c r="L74" s="1">
        <v>3.112912116</v>
      </c>
      <c r="M74" s="1">
        <v>9.6902218409999996</v>
      </c>
    </row>
    <row r="75" spans="1:13">
      <c r="B75" s="10">
        <f t="shared" si="12"/>
        <v>80</v>
      </c>
      <c r="C75" s="10">
        <v>233</v>
      </c>
      <c r="D75" s="10">
        <f t="shared" si="13"/>
        <v>131.92638846620059</v>
      </c>
      <c r="E75" s="10">
        <f t="shared" si="14"/>
        <v>-0.70132936281984826</v>
      </c>
      <c r="F75" s="10">
        <f t="shared" si="15"/>
        <v>0.49186287515329435</v>
      </c>
      <c r="H75" s="1"/>
      <c r="I75" s="1">
        <v>80</v>
      </c>
      <c r="J75" s="1">
        <v>212</v>
      </c>
      <c r="K75" s="1">
        <v>103.7540281</v>
      </c>
      <c r="L75" s="1">
        <v>0.26125790290000001</v>
      </c>
      <c r="M75" s="1">
        <v>6.8255691820000006E-2</v>
      </c>
    </row>
    <row r="76" spans="1:13">
      <c r="B76" s="10">
        <f t="shared" si="12"/>
        <v>160</v>
      </c>
      <c r="C76" s="10">
        <v>245</v>
      </c>
      <c r="D76" s="10">
        <f t="shared" si="13"/>
        <v>148.479442190546</v>
      </c>
      <c r="E76" s="10">
        <f t="shared" si="14"/>
        <v>-5.2543830871652517</v>
      </c>
      <c r="F76" s="10">
        <f t="shared" si="15"/>
        <v>27.60854162668824</v>
      </c>
      <c r="H76" s="1"/>
      <c r="I76" s="1">
        <v>160</v>
      </c>
      <c r="J76" s="1">
        <v>232</v>
      </c>
      <c r="K76" s="1">
        <v>133.1623902</v>
      </c>
      <c r="L76" s="1">
        <v>-9.1471042469999997</v>
      </c>
      <c r="M76" s="1">
        <v>83.669516110000004</v>
      </c>
    </row>
    <row r="77" spans="1:13">
      <c r="B77" s="10">
        <v>320</v>
      </c>
      <c r="C77" s="10">
        <v>272</v>
      </c>
      <c r="D77" s="10">
        <f t="shared" si="13"/>
        <v>158.35460913086084</v>
      </c>
      <c r="E77" s="10">
        <f t="shared" si="14"/>
        <v>11.870449972519907</v>
      </c>
      <c r="F77" s="10">
        <f t="shared" si="15"/>
        <v>140.90758255009786</v>
      </c>
      <c r="H77" s="1"/>
      <c r="I77" s="1">
        <v>320</v>
      </c>
      <c r="J77" s="1">
        <v>269</v>
      </c>
      <c r="K77" s="1">
        <v>155.0698956</v>
      </c>
      <c r="L77" s="1">
        <v>5.9453904460000002</v>
      </c>
      <c r="M77" s="1">
        <v>35.347667549999997</v>
      </c>
    </row>
    <row r="78" spans="1:13">
      <c r="H78" s="1"/>
      <c r="I78" s="1"/>
      <c r="J78" s="1"/>
      <c r="K78" s="1"/>
      <c r="L78" s="1"/>
      <c r="M78" s="1"/>
    </row>
    <row r="79" spans="1:13" ht="16">
      <c r="A79" s="10" t="s">
        <v>104</v>
      </c>
      <c r="B79" s="10" t="s">
        <v>82</v>
      </c>
      <c r="C79" s="63" t="s">
        <v>81</v>
      </c>
      <c r="D79" s="63" t="s">
        <v>166</v>
      </c>
      <c r="E79" s="63"/>
      <c r="F79" s="10" t="s">
        <v>79</v>
      </c>
      <c r="H79" s="1" t="s">
        <v>104</v>
      </c>
      <c r="I79" s="1" t="s">
        <v>82</v>
      </c>
      <c r="J79" s="53" t="s">
        <v>81</v>
      </c>
      <c r="K79" s="53" t="s">
        <v>167</v>
      </c>
      <c r="L79" s="1"/>
      <c r="M79" s="1" t="s">
        <v>79</v>
      </c>
    </row>
    <row r="80" spans="1:13" ht="16">
      <c r="A80" s="10">
        <v>101.77494089661926</v>
      </c>
      <c r="B80" s="63">
        <v>22.608168604486483</v>
      </c>
      <c r="C80" s="63">
        <v>169.57518985365047</v>
      </c>
      <c r="D80" s="63">
        <v>1</v>
      </c>
      <c r="E80" s="63"/>
      <c r="F80" s="10">
        <f>SUM(F64:F78)</f>
        <v>1505.0877032080261</v>
      </c>
      <c r="H80" s="1">
        <v>107.984714</v>
      </c>
      <c r="I80" s="53">
        <v>62.565421110000003</v>
      </c>
      <c r="J80" s="53">
        <v>185.46811199999999</v>
      </c>
      <c r="K80" s="53">
        <v>1</v>
      </c>
      <c r="L80" s="1"/>
      <c r="M80" s="1">
        <v>771.81941810000001</v>
      </c>
    </row>
    <row r="81" spans="1:19">
      <c r="H81" s="1"/>
      <c r="I81" s="1"/>
      <c r="J81" s="1"/>
      <c r="K81" s="1"/>
      <c r="L81" s="1"/>
      <c r="M81" s="1"/>
    </row>
    <row r="82" spans="1:19">
      <c r="A82" s="62"/>
      <c r="B82" s="10" t="s">
        <v>90</v>
      </c>
      <c r="C82" s="10" t="s">
        <v>89</v>
      </c>
      <c r="D82" s="10" t="s">
        <v>88</v>
      </c>
      <c r="E82" s="10" t="s">
        <v>87</v>
      </c>
      <c r="F82" s="10" t="s">
        <v>86</v>
      </c>
      <c r="H82" s="1"/>
      <c r="I82" s="1" t="s">
        <v>90</v>
      </c>
      <c r="J82" s="1" t="s">
        <v>89</v>
      </c>
      <c r="K82" s="1" t="s">
        <v>88</v>
      </c>
      <c r="L82" s="1" t="s">
        <v>87</v>
      </c>
      <c r="M82" s="1" t="s">
        <v>86</v>
      </c>
    </row>
    <row r="83" spans="1:19">
      <c r="H83" s="1"/>
      <c r="I83" s="1"/>
      <c r="J83" s="1"/>
      <c r="K83" s="1"/>
      <c r="L83" s="1"/>
      <c r="M83" s="1"/>
    </row>
    <row r="84" spans="1:19">
      <c r="A84" s="10" t="s">
        <v>108</v>
      </c>
      <c r="H84" s="1" t="s">
        <v>108</v>
      </c>
      <c r="I84" s="1"/>
      <c r="J84" s="1"/>
      <c r="K84" s="1"/>
      <c r="L84" s="1"/>
      <c r="M84" s="1"/>
    </row>
    <row r="85" spans="1:19">
      <c r="B85" s="10">
        <f t="shared" ref="B85:B96" si="16">B86/2</f>
        <v>7.8125E-2</v>
      </c>
      <c r="C85" s="10">
        <v>100</v>
      </c>
      <c r="D85" s="10">
        <f t="shared" ref="D85:D97" si="17" xml:space="preserve"> (B$100+B85+D$100-((B$100+B85+D$100)^2-4*D$100*B85)^0.5)*C$100/(2*D$100)</f>
        <v>0.56255017043001376</v>
      </c>
      <c r="E85" s="10">
        <f t="shared" ref="E85:E97" si="18">(C85-A$100)-D85</f>
        <v>-4.0804015400557025</v>
      </c>
      <c r="F85" s="10">
        <f t="shared" ref="F85:F97" si="19">E85*E85</f>
        <v>16.649676728088949</v>
      </c>
      <c r="H85" s="1"/>
      <c r="I85" s="1">
        <v>7.8125E-2</v>
      </c>
      <c r="J85" s="1">
        <v>115</v>
      </c>
      <c r="K85" s="1">
        <v>0.27192153610000003</v>
      </c>
      <c r="L85" s="1">
        <v>0.70328383269999994</v>
      </c>
      <c r="M85" s="1">
        <v>0.49460814939999997</v>
      </c>
      <c r="Q85" s="64"/>
      <c r="R85" s="64"/>
      <c r="S85" s="64"/>
    </row>
    <row r="86" spans="1:19">
      <c r="B86" s="10">
        <f t="shared" si="16"/>
        <v>0.15625</v>
      </c>
      <c r="C86" s="10">
        <v>92</v>
      </c>
      <c r="D86" s="10">
        <f t="shared" si="17"/>
        <v>1.1215502281656857</v>
      </c>
      <c r="E86" s="10">
        <f t="shared" si="18"/>
        <v>-12.639401597791375</v>
      </c>
      <c r="F86" s="10">
        <f t="shared" si="19"/>
        <v>159.75447275025115</v>
      </c>
      <c r="H86" s="1"/>
      <c r="I86" s="1">
        <v>0.15625</v>
      </c>
      <c r="J86" s="1">
        <v>121</v>
      </c>
      <c r="K86" s="1">
        <v>0.54298458429999996</v>
      </c>
      <c r="L86" s="1">
        <v>6.4322207850000002</v>
      </c>
      <c r="M86" s="1">
        <v>41.373464220000002</v>
      </c>
      <c r="Q86" s="64"/>
      <c r="R86" s="65"/>
      <c r="S86" s="64"/>
    </row>
    <row r="87" spans="1:19">
      <c r="B87" s="10">
        <f t="shared" si="16"/>
        <v>0.3125</v>
      </c>
      <c r="C87" s="10">
        <v>99.5</v>
      </c>
      <c r="D87" s="10">
        <f t="shared" si="17"/>
        <v>2.2290278138574378</v>
      </c>
      <c r="E87" s="10">
        <f t="shared" si="18"/>
        <v>-6.2468791834831263</v>
      </c>
      <c r="F87" s="10">
        <f t="shared" si="19"/>
        <v>39.023499533034808</v>
      </c>
      <c r="H87" s="1"/>
      <c r="I87" s="1">
        <v>0.3125</v>
      </c>
      <c r="J87" s="1">
        <v>114</v>
      </c>
      <c r="K87" s="1">
        <v>1.0825510899999999</v>
      </c>
      <c r="L87" s="1">
        <v>-1.1073457209999999</v>
      </c>
      <c r="M87" s="1">
        <v>1.2262145449999999</v>
      </c>
      <c r="Q87" s="64"/>
      <c r="R87" s="65"/>
      <c r="S87" s="64"/>
    </row>
    <row r="88" spans="1:19">
      <c r="B88" s="10">
        <f t="shared" si="16"/>
        <v>0.625</v>
      </c>
      <c r="C88" s="10">
        <v>105.5</v>
      </c>
      <c r="D88" s="10">
        <f t="shared" si="17"/>
        <v>4.4027672854043916</v>
      </c>
      <c r="E88" s="10">
        <f t="shared" si="18"/>
        <v>-2.4206186550300801</v>
      </c>
      <c r="F88" s="10">
        <f t="shared" si="19"/>
        <v>5.8593946730796338</v>
      </c>
      <c r="H88" s="1"/>
      <c r="I88" s="1">
        <v>0.625</v>
      </c>
      <c r="J88" s="1">
        <v>108</v>
      </c>
      <c r="K88" s="1">
        <v>2.1515555119999998</v>
      </c>
      <c r="L88" s="1">
        <v>-8.1763501430000005</v>
      </c>
      <c r="M88" s="1">
        <v>66.852701670000002</v>
      </c>
      <c r="Q88" s="64"/>
      <c r="R88" s="65"/>
      <c r="S88" s="64"/>
    </row>
    <row r="89" spans="1:19">
      <c r="B89" s="10">
        <f t="shared" si="16"/>
        <v>1.25</v>
      </c>
      <c r="C89" s="10">
        <v>128</v>
      </c>
      <c r="D89" s="10">
        <f t="shared" si="17"/>
        <v>8.5920879495071478</v>
      </c>
      <c r="E89" s="10">
        <f t="shared" si="18"/>
        <v>15.890060680867164</v>
      </c>
      <c r="F89" s="10">
        <f t="shared" si="19"/>
        <v>252.49402844164064</v>
      </c>
      <c r="H89" s="1"/>
      <c r="I89" s="1">
        <v>1.25</v>
      </c>
      <c r="J89" s="1">
        <v>114.5</v>
      </c>
      <c r="K89" s="1">
        <v>4.2499086999999998</v>
      </c>
      <c r="L89" s="1">
        <v>-3.774703331</v>
      </c>
      <c r="M89" s="1">
        <v>14.248385239999999</v>
      </c>
      <c r="Q89" s="64"/>
      <c r="R89" s="65"/>
      <c r="S89" s="64"/>
    </row>
    <row r="90" spans="1:19">
      <c r="B90" s="10">
        <f t="shared" si="16"/>
        <v>2.5</v>
      </c>
      <c r="C90" s="10">
        <v>129.5</v>
      </c>
      <c r="D90" s="10">
        <f t="shared" si="17"/>
        <v>16.387444157004463</v>
      </c>
      <c r="E90" s="10">
        <f t="shared" si="18"/>
        <v>9.5947044733698483</v>
      </c>
      <c r="F90" s="10">
        <f t="shared" si="19"/>
        <v>92.058353931303373</v>
      </c>
      <c r="H90" s="1"/>
      <c r="I90" s="1">
        <v>2.5</v>
      </c>
      <c r="J90" s="1">
        <v>124.5</v>
      </c>
      <c r="K90" s="1">
        <v>8.2945634760000004</v>
      </c>
      <c r="L90" s="1">
        <v>2.1806418930000002</v>
      </c>
      <c r="M90" s="1">
        <v>4.7551990650000002</v>
      </c>
      <c r="Q90" s="64"/>
      <c r="R90" s="65"/>
      <c r="S90" s="64"/>
    </row>
    <row r="91" spans="1:19">
      <c r="B91" s="10">
        <f t="shared" si="16"/>
        <v>5</v>
      </c>
      <c r="C91" s="10">
        <v>135.5</v>
      </c>
      <c r="D91" s="10">
        <f t="shared" si="17"/>
        <v>29.981233027649456</v>
      </c>
      <c r="E91" s="10">
        <f t="shared" si="18"/>
        <v>2.0009156027248558</v>
      </c>
      <c r="F91" s="10">
        <f t="shared" si="19"/>
        <v>4.0036632492277731</v>
      </c>
      <c r="H91" s="1"/>
      <c r="I91" s="1">
        <v>5</v>
      </c>
      <c r="J91" s="1">
        <v>133</v>
      </c>
      <c r="K91" s="1">
        <v>15.82386034</v>
      </c>
      <c r="L91" s="1">
        <v>3.1513450270000001</v>
      </c>
      <c r="M91" s="1">
        <v>9.9309754810000008</v>
      </c>
      <c r="Q91" s="64"/>
      <c r="R91" s="65"/>
      <c r="S91" s="64"/>
    </row>
    <row r="92" spans="1:19">
      <c r="B92" s="10">
        <f t="shared" si="16"/>
        <v>10</v>
      </c>
      <c r="C92" s="10">
        <v>166.5</v>
      </c>
      <c r="D92" s="10">
        <f t="shared" si="17"/>
        <v>51.174944959350739</v>
      </c>
      <c r="E92" s="10">
        <f t="shared" si="18"/>
        <v>11.807203671023572</v>
      </c>
      <c r="F92" s="10">
        <f t="shared" si="19"/>
        <v>139.41005852903251</v>
      </c>
      <c r="H92" s="1"/>
      <c r="I92" s="1">
        <v>10</v>
      </c>
      <c r="J92" s="1">
        <v>147</v>
      </c>
      <c r="K92" s="1">
        <v>28.968837019999999</v>
      </c>
      <c r="L92" s="1">
        <v>4.0063683479999996</v>
      </c>
      <c r="M92" s="1">
        <v>16.050987339999999</v>
      </c>
    </row>
    <row r="93" spans="1:19">
      <c r="B93" s="10">
        <f t="shared" si="16"/>
        <v>20</v>
      </c>
      <c r="C93" s="10">
        <v>169</v>
      </c>
      <c r="D93" s="10">
        <f t="shared" si="17"/>
        <v>78.993618965945188</v>
      </c>
      <c r="E93" s="10">
        <f t="shared" si="18"/>
        <v>-13.511470335570877</v>
      </c>
      <c r="F93" s="10">
        <f t="shared" si="19"/>
        <v>182.5598306290118</v>
      </c>
      <c r="H93" s="1"/>
      <c r="I93" s="1">
        <v>20</v>
      </c>
      <c r="J93" s="1">
        <v>158.5</v>
      </c>
      <c r="K93" s="1">
        <v>49.524484430000001</v>
      </c>
      <c r="L93" s="1">
        <v>-5.0492790599999999</v>
      </c>
      <c r="M93" s="1">
        <v>25.49521902</v>
      </c>
    </row>
    <row r="94" spans="1:19">
      <c r="B94" s="10">
        <f t="shared" si="16"/>
        <v>40</v>
      </c>
      <c r="C94" s="10">
        <v>208</v>
      </c>
      <c r="D94" s="10">
        <f t="shared" si="17"/>
        <v>108.21038698960783</v>
      </c>
      <c r="E94" s="10">
        <f t="shared" si="18"/>
        <v>-3.7282383592335151</v>
      </c>
      <c r="F94" s="10">
        <f t="shared" si="19"/>
        <v>13.899761263260213</v>
      </c>
      <c r="H94" s="1"/>
      <c r="I94" s="1">
        <v>40</v>
      </c>
      <c r="J94" s="1">
        <v>193.5</v>
      </c>
      <c r="K94" s="1">
        <v>76.684679110000005</v>
      </c>
      <c r="L94" s="1">
        <v>2.79052626</v>
      </c>
      <c r="M94" s="1">
        <v>7.7870368079999999</v>
      </c>
    </row>
    <row r="95" spans="1:19">
      <c r="B95" s="10">
        <f t="shared" si="16"/>
        <v>80</v>
      </c>
      <c r="C95" s="10">
        <v>232</v>
      </c>
      <c r="D95" s="10">
        <f t="shared" si="17"/>
        <v>132.50327125399332</v>
      </c>
      <c r="E95" s="10">
        <f t="shared" si="18"/>
        <v>-4.0211226236190214</v>
      </c>
      <c r="F95" s="10">
        <f t="shared" si="19"/>
        <v>16.16942715418072</v>
      </c>
      <c r="H95" s="1"/>
      <c r="I95" s="1">
        <v>80</v>
      </c>
      <c r="J95" s="1">
        <v>221.5</v>
      </c>
      <c r="K95" s="1">
        <v>105.5316778</v>
      </c>
      <c r="L95" s="1">
        <v>1.9435275329999999</v>
      </c>
      <c r="M95" s="1">
        <v>3.777299271</v>
      </c>
    </row>
    <row r="96" spans="1:19">
      <c r="B96" s="10">
        <f t="shared" si="16"/>
        <v>160</v>
      </c>
      <c r="C96" s="10">
        <v>261</v>
      </c>
      <c r="D96" s="10">
        <f t="shared" si="17"/>
        <v>149.1036586951806</v>
      </c>
      <c r="E96" s="10">
        <f t="shared" si="18"/>
        <v>8.3784899351936986</v>
      </c>
      <c r="F96" s="10">
        <f t="shared" si="19"/>
        <v>70.199093594142113</v>
      </c>
      <c r="H96" s="1"/>
      <c r="I96" s="1">
        <v>160</v>
      </c>
      <c r="J96" s="1">
        <v>236</v>
      </c>
      <c r="K96" s="1">
        <v>129.85520450000001</v>
      </c>
      <c r="L96" s="1">
        <v>-7.879999142</v>
      </c>
      <c r="M96" s="1">
        <v>62.094386479999997</v>
      </c>
    </row>
    <row r="97" spans="1:13">
      <c r="B97" s="10">
        <v>320</v>
      </c>
      <c r="C97" s="10">
        <v>261.5</v>
      </c>
      <c r="D97" s="10">
        <f t="shared" si="17"/>
        <v>159.00436296696452</v>
      </c>
      <c r="E97" s="10">
        <f t="shared" si="18"/>
        <v>-1.0222143365902241</v>
      </c>
      <c r="F97" s="10">
        <f t="shared" si="19"/>
        <v>1.0449221499305918</v>
      </c>
      <c r="H97" s="1"/>
      <c r="I97" s="1">
        <v>320</v>
      </c>
      <c r="J97" s="1">
        <v>265.5</v>
      </c>
      <c r="K97" s="1">
        <v>146.69388029999999</v>
      </c>
      <c r="L97" s="1">
        <v>4.7813250800000002</v>
      </c>
      <c r="M97" s="1">
        <v>22.861069520000001</v>
      </c>
    </row>
    <row r="98" spans="1:13">
      <c r="H98" s="1"/>
      <c r="I98" s="1"/>
      <c r="J98" s="1"/>
      <c r="K98" s="1"/>
      <c r="L98" s="1"/>
      <c r="M98" s="1"/>
    </row>
    <row r="99" spans="1:13" ht="16">
      <c r="A99" s="10" t="s">
        <v>104</v>
      </c>
      <c r="B99" s="10" t="s">
        <v>82</v>
      </c>
      <c r="C99" s="63" t="s">
        <v>81</v>
      </c>
      <c r="D99" s="63" t="s">
        <v>166</v>
      </c>
      <c r="E99" s="63"/>
      <c r="F99" s="10" t="s">
        <v>79</v>
      </c>
      <c r="H99" s="1" t="s">
        <v>104</v>
      </c>
      <c r="I99" s="1" t="s">
        <v>82</v>
      </c>
      <c r="J99" s="53" t="s">
        <v>81</v>
      </c>
      <c r="K99" s="53" t="s">
        <v>167</v>
      </c>
      <c r="L99" s="1"/>
      <c r="M99" s="1" t="s">
        <v>79</v>
      </c>
    </row>
    <row r="100" spans="1:13" ht="16">
      <c r="A100" s="10">
        <v>103.51785136962569</v>
      </c>
      <c r="B100" s="63">
        <v>22.569115585903397</v>
      </c>
      <c r="C100" s="63">
        <v>170.2515254622779</v>
      </c>
      <c r="D100" s="63">
        <v>1</v>
      </c>
      <c r="E100" s="63"/>
      <c r="F100" s="10">
        <f>SUM(F84:F98)</f>
        <v>993.12618262618435</v>
      </c>
      <c r="H100" s="1">
        <v>114.02479460000001</v>
      </c>
      <c r="I100" s="53">
        <v>47.318923810000001</v>
      </c>
      <c r="J100" s="53">
        <v>168.44493940000001</v>
      </c>
      <c r="K100" s="53">
        <v>1</v>
      </c>
      <c r="L100" s="1"/>
      <c r="M100" s="1">
        <v>276.9475468</v>
      </c>
    </row>
    <row r="101" spans="1:13">
      <c r="H101" s="1"/>
      <c r="I101" s="1"/>
      <c r="J101" s="1"/>
      <c r="K101" s="1"/>
      <c r="L101" s="1"/>
      <c r="M101" s="1"/>
    </row>
    <row r="102" spans="1:13">
      <c r="A102" s="62"/>
      <c r="B102" s="10" t="s">
        <v>90</v>
      </c>
      <c r="C102" s="10" t="s">
        <v>89</v>
      </c>
      <c r="D102" s="10" t="s">
        <v>88</v>
      </c>
      <c r="E102" s="10" t="s">
        <v>87</v>
      </c>
      <c r="F102" s="10" t="s">
        <v>86</v>
      </c>
      <c r="H102" s="1"/>
      <c r="I102" s="1" t="s">
        <v>90</v>
      </c>
      <c r="J102" s="1" t="s">
        <v>89</v>
      </c>
      <c r="K102" s="1" t="s">
        <v>88</v>
      </c>
      <c r="L102" s="1" t="s">
        <v>87</v>
      </c>
      <c r="M102" s="1" t="s">
        <v>86</v>
      </c>
    </row>
    <row r="103" spans="1:13">
      <c r="H103" s="1"/>
      <c r="I103" s="1"/>
      <c r="J103" s="1"/>
      <c r="K103" s="1"/>
      <c r="L103" s="1"/>
      <c r="M103" s="1"/>
    </row>
    <row r="104" spans="1:13">
      <c r="A104" s="10" t="s">
        <v>109</v>
      </c>
      <c r="C104" s="10">
        <v>17</v>
      </c>
      <c r="D104" s="10">
        <f t="shared" ref="D104:D117" si="20" xml:space="preserve"> (B$120+B104+D$120-((B$120+B104+D$120)^2-4*D$120*B104)^0.5)*C$120/(2*D$120)</f>
        <v>0</v>
      </c>
      <c r="E104" s="10">
        <f>(C104-A$120)-D104</f>
        <v>-92.323683119821652</v>
      </c>
      <c r="H104" s="1" t="s">
        <v>109</v>
      </c>
      <c r="I104" s="1"/>
      <c r="J104" s="1"/>
      <c r="K104" s="1"/>
      <c r="L104" s="1"/>
      <c r="M104" s="1"/>
    </row>
    <row r="105" spans="1:13">
      <c r="A105" s="10" t="s">
        <v>58</v>
      </c>
      <c r="B105" s="10">
        <f t="shared" ref="B105:B116" si="21">B106/2</f>
        <v>7.8125E-2</v>
      </c>
      <c r="C105" s="10">
        <v>97</v>
      </c>
      <c r="D105" s="10">
        <f t="shared" si="20"/>
        <v>0.51271157760639452</v>
      </c>
      <c r="E105" s="10">
        <f t="shared" ref="E105:E117" si="22">(C105-A$120)-D105</f>
        <v>-12.836394697428046</v>
      </c>
      <c r="F105" s="10">
        <f t="shared" ref="F105:F117" si="23">E105*E105</f>
        <v>164.77302882815886</v>
      </c>
      <c r="H105" s="1" t="s">
        <v>58</v>
      </c>
      <c r="I105" s="1">
        <v>7.8125E-2</v>
      </c>
      <c r="J105" s="1">
        <v>133.5</v>
      </c>
      <c r="K105" s="1">
        <v>0.26789835750000002</v>
      </c>
      <c r="L105" s="1">
        <v>16.272345290000001</v>
      </c>
      <c r="M105" s="1">
        <v>264.78922130000001</v>
      </c>
    </row>
    <row r="106" spans="1:13">
      <c r="B106" s="10">
        <f t="shared" si="21"/>
        <v>0.15625</v>
      </c>
      <c r="C106" s="10">
        <v>101.5</v>
      </c>
      <c r="D106" s="10">
        <f t="shared" si="20"/>
        <v>1.0223038992524343</v>
      </c>
      <c r="E106" s="10">
        <f t="shared" si="22"/>
        <v>-8.8459870190740872</v>
      </c>
      <c r="F106" s="10">
        <f t="shared" si="23"/>
        <v>78.251486341627256</v>
      </c>
      <c r="H106" s="1"/>
      <c r="I106" s="1">
        <v>0.15625</v>
      </c>
      <c r="J106" s="1">
        <v>120</v>
      </c>
      <c r="K106" s="1">
        <v>0.53491167660000005</v>
      </c>
      <c r="L106" s="1">
        <v>2.5053319730000001</v>
      </c>
      <c r="M106" s="1">
        <v>6.2766882940000004</v>
      </c>
    </row>
    <row r="107" spans="1:13">
      <c r="B107" s="10">
        <f t="shared" si="21"/>
        <v>0.3125</v>
      </c>
      <c r="C107" s="10">
        <v>115</v>
      </c>
      <c r="D107" s="10">
        <f t="shared" si="20"/>
        <v>2.0322392465814247</v>
      </c>
      <c r="E107" s="10">
        <f t="shared" si="22"/>
        <v>3.6440776335969232</v>
      </c>
      <c r="F107" s="10">
        <f t="shared" si="23"/>
        <v>13.279301799681351</v>
      </c>
      <c r="H107" s="1"/>
      <c r="I107" s="1">
        <v>0.3125</v>
      </c>
      <c r="J107" s="1">
        <v>104.5</v>
      </c>
      <c r="K107" s="1">
        <v>1.0663003019999999</v>
      </c>
      <c r="L107" s="1">
        <v>-13.526056649999999</v>
      </c>
      <c r="M107" s="1">
        <v>182.95420859999999</v>
      </c>
    </row>
    <row r="108" spans="1:13">
      <c r="B108" s="10">
        <f t="shared" si="21"/>
        <v>0.625</v>
      </c>
      <c r="C108" s="10">
        <v>112</v>
      </c>
      <c r="D108" s="10">
        <f t="shared" si="20"/>
        <v>4.0158554292832491</v>
      </c>
      <c r="E108" s="10">
        <f t="shared" si="22"/>
        <v>-1.3395385491049012</v>
      </c>
      <c r="F108" s="10">
        <f t="shared" si="23"/>
        <v>1.7943635245380638</v>
      </c>
      <c r="H108" s="1"/>
      <c r="I108" s="1">
        <v>0.625</v>
      </c>
      <c r="J108" s="1">
        <v>106</v>
      </c>
      <c r="K108" s="1">
        <v>2.1186437269999998</v>
      </c>
      <c r="L108" s="1">
        <v>-13.07840008</v>
      </c>
      <c r="M108" s="1">
        <v>171.04454860000001</v>
      </c>
    </row>
    <row r="109" spans="1:13">
      <c r="B109" s="10">
        <f t="shared" si="21"/>
        <v>1.25</v>
      </c>
      <c r="C109" s="10">
        <v>121.5</v>
      </c>
      <c r="D109" s="10">
        <f t="shared" si="20"/>
        <v>7.8437718247305597</v>
      </c>
      <c r="E109" s="10">
        <f t="shared" si="22"/>
        <v>4.3325450554477882</v>
      </c>
      <c r="F109" s="10">
        <f t="shared" si="23"/>
        <v>18.77094665748508</v>
      </c>
      <c r="H109" s="1"/>
      <c r="I109" s="1">
        <v>1.25</v>
      </c>
      <c r="J109" s="1">
        <v>115.5</v>
      </c>
      <c r="K109" s="1">
        <v>4.1825191180000001</v>
      </c>
      <c r="L109" s="1">
        <v>-5.6422754680000002</v>
      </c>
      <c r="M109" s="1">
        <v>31.835272459999999</v>
      </c>
    </row>
    <row r="110" spans="1:13">
      <c r="B110" s="10">
        <f t="shared" si="21"/>
        <v>2.5</v>
      </c>
      <c r="C110" s="10">
        <v>141</v>
      </c>
      <c r="D110" s="10">
        <f t="shared" si="20"/>
        <v>14.984420662142032</v>
      </c>
      <c r="E110" s="10">
        <f t="shared" si="22"/>
        <v>16.691896218036316</v>
      </c>
      <c r="F110" s="10">
        <f t="shared" si="23"/>
        <v>278.61939935369509</v>
      </c>
      <c r="H110" s="1"/>
      <c r="I110" s="1">
        <v>2.5</v>
      </c>
      <c r="J110" s="1">
        <v>125.5</v>
      </c>
      <c r="K110" s="1">
        <v>8.154080102</v>
      </c>
      <c r="L110" s="1">
        <v>0.38616354739999997</v>
      </c>
      <c r="M110" s="1">
        <v>0.1491222854</v>
      </c>
    </row>
    <row r="111" spans="1:13">
      <c r="B111" s="10">
        <f t="shared" si="21"/>
        <v>5</v>
      </c>
      <c r="C111" s="10">
        <v>146</v>
      </c>
      <c r="D111" s="10">
        <f t="shared" si="20"/>
        <v>27.493098649870504</v>
      </c>
      <c r="E111" s="10">
        <f t="shared" si="22"/>
        <v>9.183218230307844</v>
      </c>
      <c r="F111" s="10">
        <f t="shared" si="23"/>
        <v>84.331497065458336</v>
      </c>
      <c r="H111" s="1"/>
      <c r="I111" s="1">
        <v>5</v>
      </c>
      <c r="J111" s="1">
        <v>140.5</v>
      </c>
      <c r="K111" s="1">
        <v>15.524003260000001</v>
      </c>
      <c r="L111" s="1">
        <v>8.0162403900000001</v>
      </c>
      <c r="M111" s="1">
        <v>64.260109999999997</v>
      </c>
    </row>
    <row r="112" spans="1:13">
      <c r="B112" s="10">
        <f t="shared" si="21"/>
        <v>10</v>
      </c>
      <c r="C112" s="10">
        <v>148.5</v>
      </c>
      <c r="D112" s="10">
        <f t="shared" si="20"/>
        <v>47.143570611907229</v>
      </c>
      <c r="E112" s="10">
        <f t="shared" si="22"/>
        <v>-7.9672537317288814</v>
      </c>
      <c r="F112" s="10">
        <f t="shared" si="23"/>
        <v>63.477132025747785</v>
      </c>
      <c r="H112" s="1"/>
      <c r="I112" s="1">
        <v>10</v>
      </c>
      <c r="J112" s="1">
        <v>157.5</v>
      </c>
      <c r="K112" s="1">
        <v>28.317927300000001</v>
      </c>
      <c r="L112" s="1">
        <v>12.222316340000001</v>
      </c>
      <c r="M112" s="1">
        <v>149.38501679999999</v>
      </c>
    </row>
    <row r="113" spans="1:15">
      <c r="B113" s="10">
        <f t="shared" si="21"/>
        <v>20</v>
      </c>
      <c r="C113" s="10">
        <v>182</v>
      </c>
      <c r="D113" s="10">
        <f t="shared" si="20"/>
        <v>73.223892798101772</v>
      </c>
      <c r="E113" s="10">
        <f t="shared" si="22"/>
        <v>-0.54757591792342453</v>
      </c>
      <c r="F113" s="10">
        <f t="shared" si="23"/>
        <v>0.29983938588968095</v>
      </c>
      <c r="H113" s="1"/>
      <c r="I113" s="1">
        <v>20</v>
      </c>
      <c r="J113" s="1">
        <v>165</v>
      </c>
      <c r="K113" s="1">
        <v>48.138761610000003</v>
      </c>
      <c r="L113" s="1">
        <v>-9.8517958020000004E-2</v>
      </c>
      <c r="M113" s="1">
        <v>9.7057880519999997E-3</v>
      </c>
    </row>
    <row r="114" spans="1:15">
      <c r="B114" s="10">
        <f t="shared" si="21"/>
        <v>40</v>
      </c>
      <c r="C114" s="10">
        <v>206.5</v>
      </c>
      <c r="D114" s="10">
        <f t="shared" si="20"/>
        <v>100.98274326864144</v>
      </c>
      <c r="E114" s="10">
        <f t="shared" si="22"/>
        <v>-3.8064263884630947</v>
      </c>
      <c r="F114" s="10">
        <f t="shared" si="23"/>
        <v>14.488881850788198</v>
      </c>
      <c r="H114" s="1"/>
      <c r="I114" s="1">
        <v>40</v>
      </c>
      <c r="J114" s="1">
        <v>185.5</v>
      </c>
      <c r="K114" s="1">
        <v>73.980874130000004</v>
      </c>
      <c r="L114" s="1">
        <v>-5.440630477</v>
      </c>
      <c r="M114" s="1">
        <v>29.600459990000001</v>
      </c>
    </row>
    <row r="115" spans="1:15">
      <c r="B115" s="10">
        <f t="shared" si="21"/>
        <v>80</v>
      </c>
      <c r="C115" s="10">
        <v>229.5</v>
      </c>
      <c r="D115" s="10">
        <f t="shared" si="20"/>
        <v>124.3610362801351</v>
      </c>
      <c r="E115" s="10">
        <f t="shared" si="22"/>
        <v>-4.184719399956748</v>
      </c>
      <c r="F115" s="10">
        <f t="shared" si="23"/>
        <v>17.511876456374367</v>
      </c>
      <c r="H115" s="1"/>
      <c r="I115" s="1">
        <v>80</v>
      </c>
      <c r="J115" s="1">
        <v>208.5</v>
      </c>
      <c r="K115" s="1">
        <v>100.998311</v>
      </c>
      <c r="L115" s="1">
        <v>-9.4580673139999991</v>
      </c>
      <c r="M115" s="1">
        <v>89.455037329999996</v>
      </c>
    </row>
    <row r="116" spans="1:15">
      <c r="B116" s="10">
        <f t="shared" si="21"/>
        <v>160</v>
      </c>
      <c r="C116" s="10">
        <v>255.5</v>
      </c>
      <c r="D116" s="10">
        <f t="shared" si="20"/>
        <v>140.49528796205666</v>
      </c>
      <c r="E116" s="10">
        <f t="shared" si="22"/>
        <v>5.6810289181216831</v>
      </c>
      <c r="F116" s="10">
        <f t="shared" si="23"/>
        <v>32.274089568534819</v>
      </c>
      <c r="H116" s="1"/>
      <c r="I116" s="1">
        <v>160</v>
      </c>
      <c r="J116" s="1">
        <v>249.5</v>
      </c>
      <c r="K116" s="1">
        <v>123.4400653</v>
      </c>
      <c r="L116" s="1">
        <v>9.1001783310000004</v>
      </c>
      <c r="M116" s="1">
        <v>82.813245649999999</v>
      </c>
    </row>
    <row r="117" spans="1:15">
      <c r="B117" s="10">
        <v>320</v>
      </c>
      <c r="C117" s="10">
        <v>259.5</v>
      </c>
      <c r="D117" s="10">
        <f t="shared" si="20"/>
        <v>150.17997436725503</v>
      </c>
      <c r="E117" s="10">
        <f t="shared" si="22"/>
        <v>-3.6574870766798995E-3</v>
      </c>
      <c r="F117" s="10">
        <f t="shared" si="23"/>
        <v>1.3377211716080478E-5</v>
      </c>
      <c r="H117" s="1"/>
      <c r="I117" s="1">
        <v>320</v>
      </c>
      <c r="J117" s="1">
        <v>254.5</v>
      </c>
      <c r="K117" s="1">
        <v>138.7974226</v>
      </c>
      <c r="L117" s="1">
        <v>-1.2571789339999999</v>
      </c>
      <c r="M117" s="1">
        <v>1.580498873</v>
      </c>
    </row>
    <row r="118" spans="1:15">
      <c r="H118" s="1"/>
      <c r="I118" s="1"/>
      <c r="J118" s="1"/>
      <c r="K118" s="1"/>
      <c r="L118" s="1"/>
      <c r="M118" s="1"/>
    </row>
    <row r="119" spans="1:15" ht="16">
      <c r="A119" s="10" t="s">
        <v>104</v>
      </c>
      <c r="B119" s="10" t="s">
        <v>82</v>
      </c>
      <c r="C119" s="63" t="s">
        <v>81</v>
      </c>
      <c r="D119" s="63" t="s">
        <v>166</v>
      </c>
      <c r="E119" s="63"/>
      <c r="F119" s="10" t="s">
        <v>79</v>
      </c>
      <c r="H119" s="1" t="s">
        <v>104</v>
      </c>
      <c r="I119" s="1" t="s">
        <v>82</v>
      </c>
      <c r="J119" s="53" t="s">
        <v>81</v>
      </c>
      <c r="K119" s="53" t="s">
        <v>167</v>
      </c>
      <c r="L119" s="1"/>
      <c r="M119" s="1" t="s">
        <v>79</v>
      </c>
    </row>
    <row r="120" spans="1:15" ht="16">
      <c r="A120" s="10">
        <v>109.32368311982165</v>
      </c>
      <c r="B120" s="63">
        <v>23.493896514800877</v>
      </c>
      <c r="C120" s="63">
        <v>161.23813855671074</v>
      </c>
      <c r="D120" s="63">
        <v>1</v>
      </c>
      <c r="E120" s="63"/>
      <c r="F120" s="10">
        <f>SUM(F104:F118)</f>
        <v>767.87185623519053</v>
      </c>
      <c r="H120" s="1">
        <v>116.9597564</v>
      </c>
      <c r="I120" s="53">
        <v>45.123153879999997</v>
      </c>
      <c r="J120" s="53">
        <v>158.4229594</v>
      </c>
      <c r="K120" s="53">
        <v>1</v>
      </c>
      <c r="L120" s="1"/>
      <c r="M120" s="1">
        <v>1074.1531359999999</v>
      </c>
    </row>
    <row r="122" spans="1:15">
      <c r="A122" s="54"/>
      <c r="B122" s="10" t="s">
        <v>90</v>
      </c>
      <c r="C122" s="10" t="s">
        <v>89</v>
      </c>
      <c r="D122" s="10" t="s">
        <v>88</v>
      </c>
      <c r="E122" s="10" t="s">
        <v>87</v>
      </c>
      <c r="F122" s="10" t="s">
        <v>86</v>
      </c>
      <c r="H122" s="54"/>
      <c r="I122" s="10" t="s">
        <v>90</v>
      </c>
      <c r="J122" s="10" t="s">
        <v>89</v>
      </c>
      <c r="K122" s="10" t="s">
        <v>88</v>
      </c>
      <c r="L122" s="10" t="s">
        <v>87</v>
      </c>
      <c r="M122" s="10" t="s">
        <v>86</v>
      </c>
      <c r="O122" s="55"/>
    </row>
    <row r="123" spans="1:15">
      <c r="D123" s="55"/>
      <c r="E123" s="55"/>
      <c r="K123" s="55"/>
      <c r="L123" s="55"/>
      <c r="O123" s="55"/>
    </row>
    <row r="124" spans="1:15">
      <c r="A124" s="10" t="s">
        <v>110</v>
      </c>
      <c r="D124" s="55"/>
      <c r="E124" s="55"/>
      <c r="H124" s="10" t="s">
        <v>110</v>
      </c>
      <c r="K124" s="55"/>
      <c r="L124" s="55"/>
      <c r="O124" s="55"/>
    </row>
    <row r="125" spans="1:15">
      <c r="A125" s="10" t="s">
        <v>92</v>
      </c>
      <c r="B125" s="10">
        <f t="shared" ref="B125:B133" si="24">B126/2</f>
        <v>7.8125E-2</v>
      </c>
      <c r="C125" s="56">
        <v>60.5</v>
      </c>
      <c r="D125" s="55">
        <f t="shared" ref="D125:D136" si="25">(B$140+B125+D$140-((B$140+B125+D$140)^2-4*D$140*B125)^0.5)*C$140/(2*D$140)</f>
        <v>0.45225230700292268</v>
      </c>
      <c r="E125" s="55">
        <f t="shared" ref="E125:E136" si="26">(C125-A$140)-D125</f>
        <v>-4.4523758741265169</v>
      </c>
      <c r="F125" s="10">
        <f t="shared" ref="F125:F137" si="27">E125*E125</f>
        <v>19.823650924503866</v>
      </c>
      <c r="H125" s="10" t="s">
        <v>92</v>
      </c>
      <c r="I125" s="10">
        <f t="shared" ref="I125:I133" si="28">I126/2</f>
        <v>7.8125E-2</v>
      </c>
      <c r="J125" s="57">
        <v>71</v>
      </c>
      <c r="K125" s="55">
        <f t="shared" ref="K125:K136" si="29">(I$140+I125+K$140-((I$140+I125+K$140)^2-4*K$140*I125)^0.5)*J$140/(2*K$140)</f>
        <v>0.34705884900607514</v>
      </c>
      <c r="L125" s="55">
        <f t="shared" ref="L125:L136" si="30">(J125-H$140)-K125</f>
        <v>-7.937711937421696</v>
      </c>
      <c r="M125" s="10">
        <f t="shared" ref="M125:M137" si="31">L125*L125</f>
        <v>63.007270801486897</v>
      </c>
      <c r="O125" s="55"/>
    </row>
    <row r="126" spans="1:15" ht="16">
      <c r="B126" s="10">
        <f t="shared" si="24"/>
        <v>0.15625</v>
      </c>
      <c r="C126" s="58">
        <v>69.5</v>
      </c>
      <c r="D126" s="55">
        <f t="shared" si="25"/>
        <v>0.90193767882903131</v>
      </c>
      <c r="E126" s="55">
        <f t="shared" si="26"/>
        <v>4.097938754047374</v>
      </c>
      <c r="F126" s="10">
        <f t="shared" si="27"/>
        <v>16.793102031923343</v>
      </c>
      <c r="I126" s="10">
        <f t="shared" si="28"/>
        <v>0.15625</v>
      </c>
      <c r="J126" s="57">
        <v>82</v>
      </c>
      <c r="K126" s="55">
        <f t="shared" si="29"/>
        <v>0.69242320068668606</v>
      </c>
      <c r="L126" s="55">
        <f t="shared" si="30"/>
        <v>2.7169237108976927</v>
      </c>
      <c r="M126" s="10">
        <f t="shared" si="31"/>
        <v>7.3816744508380889</v>
      </c>
      <c r="O126" s="55"/>
    </row>
    <row r="127" spans="1:15" ht="16">
      <c r="B127" s="10">
        <f t="shared" si="24"/>
        <v>0.3125</v>
      </c>
      <c r="C127" s="58">
        <v>61.5</v>
      </c>
      <c r="D127" s="55">
        <f t="shared" si="25"/>
        <v>1.7936911880766071</v>
      </c>
      <c r="E127" s="55">
        <f t="shared" si="26"/>
        <v>-4.7938147552002022</v>
      </c>
      <c r="F127" s="10">
        <f t="shared" si="27"/>
        <v>22.980659907175173</v>
      </c>
      <c r="I127" s="10">
        <f t="shared" si="28"/>
        <v>0.3125</v>
      </c>
      <c r="J127" s="57">
        <v>76.5</v>
      </c>
      <c r="K127" s="55">
        <f t="shared" si="29"/>
        <v>1.3781161860489892</v>
      </c>
      <c r="L127" s="55">
        <f t="shared" si="30"/>
        <v>-3.4687692744646101</v>
      </c>
      <c r="M127" s="10">
        <f t="shared" si="31"/>
        <v>12.032360279469739</v>
      </c>
      <c r="O127" s="55"/>
    </row>
    <row r="128" spans="1:15" ht="16">
      <c r="B128" s="10">
        <f t="shared" si="24"/>
        <v>0.625</v>
      </c>
      <c r="C128" s="58">
        <v>55</v>
      </c>
      <c r="D128" s="55">
        <f t="shared" si="25"/>
        <v>3.5473022195898993</v>
      </c>
      <c r="E128" s="55">
        <f t="shared" si="26"/>
        <v>-13.047425786713493</v>
      </c>
      <c r="F128" s="10">
        <f t="shared" si="27"/>
        <v>170.2353196597962</v>
      </c>
      <c r="I128" s="10">
        <f t="shared" si="28"/>
        <v>0.625</v>
      </c>
      <c r="J128" s="57">
        <v>76.5</v>
      </c>
      <c r="K128" s="55">
        <f t="shared" si="29"/>
        <v>2.7296876905763972</v>
      </c>
      <c r="L128" s="55">
        <f t="shared" si="30"/>
        <v>-4.8203407789920183</v>
      </c>
      <c r="M128" s="10">
        <f t="shared" si="31"/>
        <v>23.235685225613377</v>
      </c>
      <c r="O128" s="55"/>
    </row>
    <row r="129" spans="1:15" ht="16">
      <c r="B129" s="10">
        <f t="shared" si="24"/>
        <v>1.25</v>
      </c>
      <c r="C129" s="58">
        <v>80.5</v>
      </c>
      <c r="D129" s="55">
        <f t="shared" si="25"/>
        <v>6.9393501994155828</v>
      </c>
      <c r="E129" s="55">
        <f t="shared" si="26"/>
        <v>9.0605262334608234</v>
      </c>
      <c r="F129" s="10">
        <f t="shared" si="27"/>
        <v>82.093135627231774</v>
      </c>
      <c r="I129" s="10">
        <f t="shared" si="28"/>
        <v>1.25</v>
      </c>
      <c r="J129" s="57">
        <v>88</v>
      </c>
      <c r="K129" s="55">
        <f t="shared" si="29"/>
        <v>5.3561129677308248</v>
      </c>
      <c r="L129" s="55">
        <f t="shared" si="30"/>
        <v>4.0532339438535541</v>
      </c>
      <c r="M129" s="10">
        <f t="shared" si="31"/>
        <v>16.428705403606635</v>
      </c>
      <c r="O129" s="55"/>
    </row>
    <row r="130" spans="1:15" ht="16">
      <c r="B130" s="10">
        <f t="shared" si="24"/>
        <v>2.5</v>
      </c>
      <c r="C130" s="58">
        <v>80</v>
      </c>
      <c r="D130" s="55">
        <f t="shared" si="25"/>
        <v>13.295449663741726</v>
      </c>
      <c r="E130" s="55">
        <f t="shared" si="26"/>
        <v>2.2044267691346793</v>
      </c>
      <c r="F130" s="10">
        <f t="shared" si="27"/>
        <v>4.8594973804775607</v>
      </c>
      <c r="I130" s="10">
        <f t="shared" si="28"/>
        <v>2.5</v>
      </c>
      <c r="J130" s="57">
        <v>92</v>
      </c>
      <c r="K130" s="55">
        <f t="shared" si="29"/>
        <v>10.321108922314268</v>
      </c>
      <c r="L130" s="55">
        <f t="shared" si="30"/>
        <v>3.0882379892701106</v>
      </c>
      <c r="M130" s="10">
        <f t="shared" si="31"/>
        <v>9.5372138783710962</v>
      </c>
      <c r="O130" s="55"/>
    </row>
    <row r="131" spans="1:15" ht="16">
      <c r="B131" s="10">
        <f t="shared" si="24"/>
        <v>5</v>
      </c>
      <c r="C131" s="58">
        <v>98.5</v>
      </c>
      <c r="D131" s="55">
        <f t="shared" si="25"/>
        <v>24.521579542269553</v>
      </c>
      <c r="E131" s="55">
        <f t="shared" si="26"/>
        <v>9.4782968906068525</v>
      </c>
      <c r="F131" s="10">
        <f t="shared" si="27"/>
        <v>89.83811194648753</v>
      </c>
      <c r="I131" s="10">
        <f t="shared" si="28"/>
        <v>5</v>
      </c>
      <c r="J131" s="59">
        <v>103.5</v>
      </c>
      <c r="K131" s="55">
        <f t="shared" si="29"/>
        <v>19.23345260610769</v>
      </c>
      <c r="L131" s="55">
        <f t="shared" si="30"/>
        <v>5.6758943054766888</v>
      </c>
      <c r="M131" s="10">
        <f t="shared" si="31"/>
        <v>32.215776166942703</v>
      </c>
      <c r="O131" s="55"/>
    </row>
    <row r="132" spans="1:15" ht="16">
      <c r="B132" s="10">
        <f t="shared" si="24"/>
        <v>10</v>
      </c>
      <c r="C132" s="56">
        <v>114</v>
      </c>
      <c r="D132" s="55">
        <f t="shared" si="25"/>
        <v>42.40287789317486</v>
      </c>
      <c r="E132" s="55">
        <f t="shared" si="26"/>
        <v>7.0969985397015449</v>
      </c>
      <c r="F132" s="10">
        <f t="shared" si="27"/>
        <v>50.367388272525858</v>
      </c>
      <c r="I132" s="10">
        <f t="shared" si="28"/>
        <v>10</v>
      </c>
      <c r="J132" s="59">
        <v>116</v>
      </c>
      <c r="K132" s="55">
        <f t="shared" si="29"/>
        <v>33.827369317405974</v>
      </c>
      <c r="L132" s="55">
        <f t="shared" si="30"/>
        <v>3.5819775941784044</v>
      </c>
      <c r="M132" s="10">
        <f t="shared" si="31"/>
        <v>12.830563485196111</v>
      </c>
      <c r="O132" s="55"/>
    </row>
    <row r="133" spans="1:15" ht="16">
      <c r="B133" s="10">
        <f t="shared" si="24"/>
        <v>20</v>
      </c>
      <c r="C133" s="56">
        <v>122.5</v>
      </c>
      <c r="D133" s="55">
        <f t="shared" si="25"/>
        <v>66.624791376189847</v>
      </c>
      <c r="E133" s="55">
        <f t="shared" si="26"/>
        <v>-8.624914943313442</v>
      </c>
      <c r="F133" s="10">
        <f t="shared" si="27"/>
        <v>74.38915777939151</v>
      </c>
      <c r="I133" s="10">
        <f t="shared" si="28"/>
        <v>20</v>
      </c>
      <c r="J133" s="59">
        <v>138.5</v>
      </c>
      <c r="K133" s="55">
        <f t="shared" si="29"/>
        <v>54.439003758498551</v>
      </c>
      <c r="L133" s="55">
        <f t="shared" si="30"/>
        <v>5.4703431530858282</v>
      </c>
      <c r="M133" s="10">
        <f t="shared" si="31"/>
        <v>29.924654212513001</v>
      </c>
      <c r="O133" s="55"/>
    </row>
    <row r="134" spans="1:15" ht="16">
      <c r="B134" s="10">
        <v>40</v>
      </c>
      <c r="C134" s="56">
        <v>158.5</v>
      </c>
      <c r="D134" s="55">
        <f t="shared" si="25"/>
        <v>93.057717017367168</v>
      </c>
      <c r="E134" s="55">
        <f t="shared" si="26"/>
        <v>0.94215941550923787</v>
      </c>
      <c r="F134" s="10">
        <f t="shared" si="27"/>
        <v>0.88766436423270878</v>
      </c>
      <c r="I134" s="10">
        <v>40</v>
      </c>
      <c r="J134" s="59">
        <v>155</v>
      </c>
      <c r="K134" s="55">
        <f t="shared" si="29"/>
        <v>78.148899488530319</v>
      </c>
      <c r="L134" s="55">
        <f t="shared" si="30"/>
        <v>-1.7395525769459397</v>
      </c>
      <c r="M134" s="10">
        <f t="shared" si="31"/>
        <v>3.0260431679592594</v>
      </c>
      <c r="O134" s="55"/>
    </row>
    <row r="135" spans="1:15" ht="16">
      <c r="B135" s="10">
        <v>80</v>
      </c>
      <c r="C135" s="56">
        <v>172.5</v>
      </c>
      <c r="D135" s="55">
        <f t="shared" si="25"/>
        <v>115.86977388907114</v>
      </c>
      <c r="E135" s="55">
        <f t="shared" si="26"/>
        <v>-7.8698974561947352</v>
      </c>
      <c r="F135" s="10">
        <f t="shared" si="27"/>
        <v>61.935285971020363</v>
      </c>
      <c r="I135" s="10">
        <v>80</v>
      </c>
      <c r="J135" s="59">
        <v>163.5</v>
      </c>
      <c r="K135" s="55">
        <f t="shared" si="29"/>
        <v>99.733911572211142</v>
      </c>
      <c r="L135" s="55">
        <f t="shared" si="30"/>
        <v>-14.824564660626763</v>
      </c>
      <c r="M135" s="10">
        <f t="shared" si="31"/>
        <v>219.76771737710388</v>
      </c>
      <c r="O135" s="55"/>
    </row>
    <row r="136" spans="1:15" ht="16">
      <c r="B136" s="10">
        <v>160</v>
      </c>
      <c r="C136" s="60">
        <v>197.5</v>
      </c>
      <c r="D136" s="55">
        <f t="shared" si="25"/>
        <v>131.91807547078866</v>
      </c>
      <c r="E136" s="55">
        <f t="shared" si="26"/>
        <v>1.0818009620877547</v>
      </c>
      <c r="F136" s="10">
        <f t="shared" si="27"/>
        <v>1.1702933215739917</v>
      </c>
      <c r="I136" s="10">
        <v>160</v>
      </c>
      <c r="J136" s="59">
        <v>192</v>
      </c>
      <c r="K136" s="55">
        <f t="shared" si="29"/>
        <v>115.59306295305606</v>
      </c>
      <c r="L136" s="55">
        <f t="shared" si="30"/>
        <v>-2.1837160414716834</v>
      </c>
      <c r="M136" s="10">
        <f t="shared" si="31"/>
        <v>4.7686157497807589</v>
      </c>
      <c r="O136" s="55"/>
    </row>
    <row r="137" spans="1:15">
      <c r="B137" s="10">
        <v>320</v>
      </c>
      <c r="C137" s="56">
        <v>211</v>
      </c>
      <c r="D137" s="55">
        <f>(B$140+B137+D$140-((B$140+B137+D$140)^2-4*D$140*B137)^0.5)*C$140/(2*D$140)</f>
        <v>141.67336844407299</v>
      </c>
      <c r="E137" s="55">
        <f>(C137-A$140)-D137</f>
        <v>4.8265079888034279</v>
      </c>
      <c r="F137" s="10">
        <f t="shared" si="27"/>
        <v>23.295179365983312</v>
      </c>
      <c r="I137" s="10">
        <v>320</v>
      </c>
      <c r="J137" s="57">
        <v>214.5</v>
      </c>
      <c r="K137" s="55">
        <f>(I$140+I137+K$140-((I$140+I137+K$140)^2-4*K$140*I137)^0.5)*J$140/(2*K$140)</f>
        <v>125.52040396471278</v>
      </c>
      <c r="L137" s="55">
        <f>(J137-H$140)-K137</f>
        <v>10.388942946871595</v>
      </c>
      <c r="M137" s="10">
        <f t="shared" si="31"/>
        <v>107.93013555335305</v>
      </c>
      <c r="O137" s="55"/>
    </row>
    <row r="138" spans="1:15">
      <c r="D138" s="55"/>
      <c r="E138" s="55"/>
      <c r="K138" s="55"/>
      <c r="L138" s="55"/>
      <c r="O138" s="55"/>
    </row>
    <row r="139" spans="1:15" ht="16">
      <c r="A139" s="10" t="s">
        <v>104</v>
      </c>
      <c r="B139" s="10" t="s">
        <v>82</v>
      </c>
      <c r="C139" s="61" t="s">
        <v>81</v>
      </c>
      <c r="D139" s="61" t="s">
        <v>166</v>
      </c>
      <c r="E139" s="61"/>
      <c r="F139" s="10" t="s">
        <v>79</v>
      </c>
      <c r="H139" s="10" t="s">
        <v>104</v>
      </c>
      <c r="I139" s="10" t="s">
        <v>82</v>
      </c>
      <c r="J139" s="61" t="s">
        <v>81</v>
      </c>
      <c r="K139" s="61" t="s">
        <v>166</v>
      </c>
      <c r="L139" s="61"/>
      <c r="M139" s="10" t="s">
        <v>79</v>
      </c>
      <c r="O139" s="55"/>
    </row>
    <row r="140" spans="1:15" ht="16">
      <c r="A140" s="10">
        <v>64.500123567123595</v>
      </c>
      <c r="B140" s="61">
        <v>25.342207559222619</v>
      </c>
      <c r="C140" s="61">
        <v>152.92568179968143</v>
      </c>
      <c r="D140" s="61">
        <v>1</v>
      </c>
      <c r="E140" s="61"/>
      <c r="F140" s="55">
        <f>SUM(F124:F138)</f>
        <v>618.6684465523233</v>
      </c>
      <c r="H140" s="10">
        <v>78.590653088415621</v>
      </c>
      <c r="I140" s="61">
        <v>29.820421784129493</v>
      </c>
      <c r="J140" s="61">
        <v>137.25102713512999</v>
      </c>
      <c r="K140" s="61">
        <v>1</v>
      </c>
      <c r="L140" s="61"/>
      <c r="M140" s="55">
        <f>SUM(M124:M138)</f>
        <v>542.08641575223453</v>
      </c>
      <c r="O140" s="55"/>
    </row>
    <row r="141" spans="1:15">
      <c r="O141" s="55"/>
    </row>
    <row r="142" spans="1:15">
      <c r="A142" s="54"/>
      <c r="B142" s="10" t="s">
        <v>90</v>
      </c>
      <c r="C142" s="10" t="s">
        <v>89</v>
      </c>
      <c r="D142" s="10" t="s">
        <v>88</v>
      </c>
      <c r="E142" s="10" t="s">
        <v>87</v>
      </c>
      <c r="F142" s="10" t="s">
        <v>86</v>
      </c>
      <c r="H142" s="54"/>
      <c r="I142" s="10" t="s">
        <v>90</v>
      </c>
      <c r="J142" s="10" t="s">
        <v>89</v>
      </c>
      <c r="K142" s="10" t="s">
        <v>88</v>
      </c>
      <c r="L142" s="10" t="s">
        <v>87</v>
      </c>
      <c r="M142" s="10" t="s">
        <v>86</v>
      </c>
      <c r="O142" s="55"/>
    </row>
    <row r="143" spans="1:15">
      <c r="D143" s="55"/>
      <c r="E143" s="55"/>
      <c r="K143" s="55"/>
      <c r="L143" s="55"/>
      <c r="O143" s="55"/>
    </row>
    <row r="144" spans="1:15">
      <c r="A144" s="10" t="s">
        <v>111</v>
      </c>
      <c r="D144" s="55"/>
      <c r="E144" s="55"/>
      <c r="H144" s="10" t="s">
        <v>111</v>
      </c>
      <c r="K144" s="55"/>
      <c r="L144" s="55"/>
      <c r="O144" s="55"/>
    </row>
    <row r="145" spans="1:15" ht="16">
      <c r="B145" s="10">
        <f t="shared" ref="B145:B153" si="32">B146/2</f>
        <v>7.8125E-2</v>
      </c>
      <c r="C145" s="56">
        <v>63</v>
      </c>
      <c r="D145" s="55">
        <f t="shared" ref="D145:D156" si="33">(B$160+B145+D$160-((B$160+B145+D$160)^2-4*D$160*B145)^0.5)*C$160/(2*D$160)</f>
        <v>0.52388172987812476</v>
      </c>
      <c r="E145" s="55">
        <f t="shared" ref="E145:E156" si="34">(C145-A$160)-D145</f>
        <v>4.2026808067229338</v>
      </c>
      <c r="F145" s="10">
        <f t="shared" ref="F145:F157" si="35">E145*E145</f>
        <v>17.662525963197329</v>
      </c>
      <c r="I145" s="10">
        <f t="shared" ref="I145:I153" si="36">I146/2</f>
        <v>7.8125E-2</v>
      </c>
      <c r="J145" s="59">
        <v>71.5</v>
      </c>
      <c r="K145" s="55">
        <f t="shared" ref="K145:K156" si="37">(I$160+I145+K$160-((I$160+I145+K$160)^2-4*K$160*I145)^0.5)*J$160/(2*K$160)</f>
        <v>0.54276248744051769</v>
      </c>
      <c r="L145" s="55">
        <f t="shared" ref="L145:L157" si="38">(J145-H$160)-K145</f>
        <v>-0.48314763787390347</v>
      </c>
      <c r="M145" s="10">
        <f t="shared" ref="M145:M157" si="39">L145*L145</f>
        <v>0.23343163998313257</v>
      </c>
      <c r="O145" s="55"/>
    </row>
    <row r="146" spans="1:15" ht="16">
      <c r="B146" s="10">
        <f t="shared" si="32"/>
        <v>0.15625</v>
      </c>
      <c r="C146" s="56">
        <v>54.5</v>
      </c>
      <c r="D146" s="55">
        <f t="shared" si="33"/>
        <v>1.0446727263920601</v>
      </c>
      <c r="E146" s="55">
        <f t="shared" si="34"/>
        <v>-4.8181101897910015</v>
      </c>
      <c r="F146" s="10">
        <f t="shared" si="35"/>
        <v>23.214185800967879</v>
      </c>
      <c r="I146" s="10">
        <f t="shared" si="36"/>
        <v>0.15625</v>
      </c>
      <c r="J146" s="59">
        <v>68</v>
      </c>
      <c r="K146" s="55">
        <f t="shared" si="37"/>
        <v>1.081848358556377</v>
      </c>
      <c r="L146" s="55">
        <f t="shared" si="38"/>
        <v>-4.5222335089897623</v>
      </c>
      <c r="M146" s="10">
        <f t="shared" si="39"/>
        <v>20.450595909829858</v>
      </c>
      <c r="O146" s="55"/>
    </row>
    <row r="147" spans="1:15" ht="16">
      <c r="B147" s="10">
        <f t="shared" si="32"/>
        <v>0.3125</v>
      </c>
      <c r="C147" s="56">
        <v>61</v>
      </c>
      <c r="D147" s="55">
        <f t="shared" si="33"/>
        <v>2.077086911044876</v>
      </c>
      <c r="E147" s="55">
        <f t="shared" si="34"/>
        <v>0.64947562555618221</v>
      </c>
      <c r="F147" s="10">
        <f t="shared" si="35"/>
        <v>0.42181858819159418</v>
      </c>
      <c r="I147" s="10">
        <f t="shared" si="36"/>
        <v>0.3125</v>
      </c>
      <c r="J147" s="59">
        <v>80.5</v>
      </c>
      <c r="K147" s="55">
        <f t="shared" si="37"/>
        <v>2.1491317548731348</v>
      </c>
      <c r="L147" s="55">
        <f t="shared" si="38"/>
        <v>6.910483094693479</v>
      </c>
      <c r="M147" s="10">
        <f t="shared" si="39"/>
        <v>47.754776602044366</v>
      </c>
      <c r="O147" s="55"/>
    </row>
    <row r="148" spans="1:15">
      <c r="B148" s="10">
        <f t="shared" si="32"/>
        <v>0.625</v>
      </c>
      <c r="C148" s="56">
        <v>63</v>
      </c>
      <c r="D148" s="55">
        <f t="shared" si="33"/>
        <v>4.1059592129268232</v>
      </c>
      <c r="E148" s="55">
        <f t="shared" si="34"/>
        <v>0.62060332367423499</v>
      </c>
      <c r="F148" s="10">
        <f t="shared" si="35"/>
        <v>0.38514848535550728</v>
      </c>
      <c r="I148" s="10">
        <f t="shared" si="36"/>
        <v>0.625</v>
      </c>
      <c r="J148" s="57">
        <v>70</v>
      </c>
      <c r="K148" s="55">
        <f t="shared" si="37"/>
        <v>4.2411118489888509</v>
      </c>
      <c r="L148" s="55">
        <f t="shared" si="38"/>
        <v>-5.6814969994222366</v>
      </c>
      <c r="M148" s="10">
        <f t="shared" si="39"/>
        <v>32.279408154443878</v>
      </c>
      <c r="O148" s="55"/>
    </row>
    <row r="149" spans="1:15">
      <c r="B149" s="10">
        <f t="shared" si="32"/>
        <v>1.25</v>
      </c>
      <c r="C149" s="56">
        <v>67.5</v>
      </c>
      <c r="D149" s="55">
        <f t="shared" si="33"/>
        <v>8.0253765334056801</v>
      </c>
      <c r="E149" s="55">
        <f t="shared" si="34"/>
        <v>1.201186003195378</v>
      </c>
      <c r="F149" s="10">
        <f t="shared" si="35"/>
        <v>1.4428478142724868</v>
      </c>
      <c r="I149" s="10">
        <f t="shared" si="36"/>
        <v>1.25</v>
      </c>
      <c r="J149" s="57">
        <v>86</v>
      </c>
      <c r="K149" s="55">
        <f t="shared" si="37"/>
        <v>8.2621170477585153</v>
      </c>
      <c r="L149" s="55">
        <f t="shared" si="38"/>
        <v>6.2974978018080989</v>
      </c>
      <c r="M149" s="10">
        <f t="shared" si="39"/>
        <v>39.658478563777841</v>
      </c>
      <c r="O149" s="55"/>
    </row>
    <row r="150" spans="1:15">
      <c r="B150" s="10">
        <f t="shared" si="32"/>
        <v>2.5</v>
      </c>
      <c r="C150" s="56">
        <v>76</v>
      </c>
      <c r="D150" s="55">
        <f t="shared" si="33"/>
        <v>15.351555752195061</v>
      </c>
      <c r="E150" s="55">
        <f t="shared" si="34"/>
        <v>2.375006784405997</v>
      </c>
      <c r="F150" s="10">
        <f t="shared" si="35"/>
        <v>5.6406572259745138</v>
      </c>
      <c r="I150" s="10">
        <f t="shared" si="36"/>
        <v>2.5</v>
      </c>
      <c r="J150" s="57">
        <v>86</v>
      </c>
      <c r="K150" s="55">
        <f t="shared" si="37"/>
        <v>15.706427854901795</v>
      </c>
      <c r="L150" s="55">
        <f t="shared" si="38"/>
        <v>-1.146813005335181</v>
      </c>
      <c r="M150" s="10">
        <f t="shared" si="39"/>
        <v>1.3151800692059099</v>
      </c>
      <c r="O150" s="55"/>
    </row>
    <row r="151" spans="1:15" ht="16">
      <c r="B151" s="10">
        <f t="shared" si="32"/>
        <v>5</v>
      </c>
      <c r="C151" s="56">
        <v>82</v>
      </c>
      <c r="D151" s="55">
        <f t="shared" si="33"/>
        <v>28.23277122867556</v>
      </c>
      <c r="E151" s="55">
        <f t="shared" si="34"/>
        <v>-4.5062086920745017</v>
      </c>
      <c r="F151" s="10">
        <f t="shared" si="35"/>
        <v>20.305916776527791</v>
      </c>
      <c r="I151" s="10">
        <f t="shared" si="36"/>
        <v>5</v>
      </c>
      <c r="J151" s="59">
        <v>100.5</v>
      </c>
      <c r="K151" s="55">
        <f t="shared" si="37"/>
        <v>28.56934793946305</v>
      </c>
      <c r="L151" s="55">
        <f t="shared" si="38"/>
        <v>0.49026691010356416</v>
      </c>
      <c r="M151" s="10">
        <f t="shared" si="39"/>
        <v>0.24036164314249625</v>
      </c>
      <c r="O151" s="55"/>
    </row>
    <row r="152" spans="1:15" ht="16">
      <c r="B152" s="10">
        <f t="shared" si="32"/>
        <v>10</v>
      </c>
      <c r="C152" s="56">
        <v>104</v>
      </c>
      <c r="D152" s="55">
        <f t="shared" si="33"/>
        <v>48.594605230376878</v>
      </c>
      <c r="E152" s="55">
        <f t="shared" si="34"/>
        <v>-2.8680426937758199</v>
      </c>
      <c r="F152" s="10">
        <f t="shared" si="35"/>
        <v>8.2256688933208615</v>
      </c>
      <c r="I152" s="10">
        <f t="shared" si="36"/>
        <v>10</v>
      </c>
      <c r="J152" s="59">
        <v>113.5</v>
      </c>
      <c r="K152" s="55">
        <f t="shared" si="37"/>
        <v>48.319863015386524</v>
      </c>
      <c r="L152" s="55">
        <f t="shared" si="38"/>
        <v>-6.2602481658199096</v>
      </c>
      <c r="M152" s="10">
        <f t="shared" si="39"/>
        <v>39.19070709765154</v>
      </c>
      <c r="O152" s="55"/>
    </row>
    <row r="153" spans="1:15" ht="16">
      <c r="B153" s="10">
        <f t="shared" si="32"/>
        <v>20</v>
      </c>
      <c r="C153" s="56">
        <v>136.5</v>
      </c>
      <c r="D153" s="55">
        <f t="shared" si="33"/>
        <v>75.867104740041086</v>
      </c>
      <c r="E153" s="55">
        <f t="shared" si="34"/>
        <v>2.3594577965599655</v>
      </c>
      <c r="F153" s="10">
        <f t="shared" si="35"/>
        <v>5.5670410937476076</v>
      </c>
      <c r="I153" s="10">
        <f t="shared" si="36"/>
        <v>20</v>
      </c>
      <c r="J153" s="59">
        <v>150.5</v>
      </c>
      <c r="K153" s="55">
        <f t="shared" si="37"/>
        <v>73.679639402925275</v>
      </c>
      <c r="L153" s="55">
        <f t="shared" si="38"/>
        <v>5.379975446641339</v>
      </c>
      <c r="M153" s="10">
        <f t="shared" si="39"/>
        <v>28.944135806463674</v>
      </c>
      <c r="O153" s="55"/>
    </row>
    <row r="154" spans="1:15" ht="16">
      <c r="B154" s="10">
        <v>40</v>
      </c>
      <c r="C154" s="56">
        <v>165</v>
      </c>
      <c r="D154" s="55">
        <f t="shared" si="33"/>
        <v>105.21923776008693</v>
      </c>
      <c r="E154" s="55">
        <f t="shared" si="34"/>
        <v>1.5073247765141247</v>
      </c>
      <c r="F154" s="10">
        <f t="shared" si="35"/>
        <v>2.272027981893356</v>
      </c>
      <c r="I154" s="10">
        <v>40</v>
      </c>
      <c r="J154" s="59">
        <v>173</v>
      </c>
      <c r="K154" s="55">
        <f t="shared" si="37"/>
        <v>99.628094238707618</v>
      </c>
      <c r="L154" s="55">
        <f t="shared" si="38"/>
        <v>1.9315206108589962</v>
      </c>
      <c r="M154" s="10">
        <f t="shared" si="39"/>
        <v>3.7307718701731098</v>
      </c>
      <c r="O154" s="55"/>
    </row>
    <row r="155" spans="1:15" ht="16">
      <c r="B155" s="10">
        <v>80</v>
      </c>
      <c r="C155" s="56">
        <v>186.5</v>
      </c>
      <c r="D155" s="55">
        <f t="shared" si="33"/>
        <v>130.20771622668656</v>
      </c>
      <c r="E155" s="55">
        <f t="shared" si="34"/>
        <v>-1.981153690085506</v>
      </c>
      <c r="F155" s="10">
        <f t="shared" si="35"/>
        <v>3.9249699437394172</v>
      </c>
      <c r="I155" s="10">
        <v>80</v>
      </c>
      <c r="J155" s="59">
        <v>187.5</v>
      </c>
      <c r="K155" s="55">
        <f t="shared" si="37"/>
        <v>120.67905133666638</v>
      </c>
      <c r="L155" s="55">
        <f t="shared" si="38"/>
        <v>-4.6194364870997617</v>
      </c>
      <c r="M155" s="10">
        <f t="shared" si="39"/>
        <v>21.339193458348586</v>
      </c>
      <c r="O155" s="55"/>
    </row>
    <row r="156" spans="1:15" ht="16">
      <c r="B156" s="10">
        <v>160</v>
      </c>
      <c r="C156" s="60">
        <v>211.5</v>
      </c>
      <c r="D156" s="55">
        <f t="shared" si="33"/>
        <v>147.59912854477878</v>
      </c>
      <c r="E156" s="55">
        <f t="shared" si="34"/>
        <v>5.6274339918222722</v>
      </c>
      <c r="F156" s="10">
        <f t="shared" si="35"/>
        <v>31.668013332316754</v>
      </c>
      <c r="I156" s="10">
        <v>160</v>
      </c>
      <c r="J156" s="59">
        <v>207</v>
      </c>
      <c r="K156" s="55">
        <f t="shared" si="37"/>
        <v>134.79775799896277</v>
      </c>
      <c r="L156" s="55">
        <f t="shared" si="38"/>
        <v>0.76185685060386277</v>
      </c>
      <c r="M156" s="10">
        <f t="shared" si="39"/>
        <v>0.58042586081203651</v>
      </c>
      <c r="O156" s="55"/>
    </row>
    <row r="157" spans="1:15">
      <c r="B157" s="10">
        <v>320</v>
      </c>
      <c r="C157" s="56">
        <v>212</v>
      </c>
      <c r="D157" s="55">
        <f>(B$160+B157+D$160-((B$160+B157+D$160)^2-4*D$160*B157)^0.5)*C$160/(2*D$160)</f>
        <v>158.09613480358161</v>
      </c>
      <c r="E157" s="55">
        <f>(C157-A$160)-D157</f>
        <v>-4.3695722669805548</v>
      </c>
      <c r="F157" s="10">
        <f t="shared" si="35"/>
        <v>19.093161796365585</v>
      </c>
      <c r="I157" s="10">
        <v>320</v>
      </c>
      <c r="J157" s="57">
        <v>215.5</v>
      </c>
      <c r="K157" s="55">
        <f>(I$160+I157+K$160-((I$160+I157+K$160)^2-4*K$160*I157)^0.5)*J$160/(2*K$160)</f>
        <v>143.11808142892804</v>
      </c>
      <c r="L157" s="55">
        <f t="shared" si="38"/>
        <v>0.94153342063859213</v>
      </c>
      <c r="M157" s="10">
        <f t="shared" si="39"/>
        <v>0.88648518217940808</v>
      </c>
      <c r="O157" s="55"/>
    </row>
    <row r="158" spans="1:15">
      <c r="D158" s="55"/>
      <c r="E158" s="55"/>
      <c r="K158" s="55"/>
      <c r="L158" s="55"/>
      <c r="O158" s="55"/>
    </row>
    <row r="159" spans="1:15" ht="16">
      <c r="A159" s="10" t="s">
        <v>104</v>
      </c>
      <c r="B159" s="10" t="s">
        <v>82</v>
      </c>
      <c r="C159" s="61" t="s">
        <v>81</v>
      </c>
      <c r="D159" s="61" t="s">
        <v>166</v>
      </c>
      <c r="E159" s="61"/>
      <c r="F159" s="10" t="s">
        <v>79</v>
      </c>
      <c r="H159" s="10" t="s">
        <v>104</v>
      </c>
      <c r="I159" s="10" t="s">
        <v>82</v>
      </c>
      <c r="J159" s="61" t="s">
        <v>81</v>
      </c>
      <c r="K159" s="61" t="s">
        <v>166</v>
      </c>
      <c r="L159" s="61"/>
      <c r="M159" s="10" t="s">
        <v>79</v>
      </c>
      <c r="O159" s="55"/>
    </row>
    <row r="160" spans="1:15" ht="16">
      <c r="A160" s="10">
        <v>58.273437463398942</v>
      </c>
      <c r="B160" s="61">
        <v>24.296687856034897</v>
      </c>
      <c r="C160" s="61">
        <v>170.13488269234117</v>
      </c>
      <c r="D160" s="61">
        <v>1</v>
      </c>
      <c r="E160" s="61"/>
      <c r="F160" s="55">
        <f>SUM(F144:F158)</f>
        <v>139.82398369587068</v>
      </c>
      <c r="H160" s="10">
        <v>71.440385150433386</v>
      </c>
      <c r="I160" s="61">
        <v>20.873497442503208</v>
      </c>
      <c r="J160" s="61">
        <v>152.48109076042013</v>
      </c>
      <c r="K160" s="61">
        <v>1</v>
      </c>
      <c r="L160" s="61"/>
      <c r="M160" s="55">
        <f>SUM(M144:M158)</f>
        <v>236.60395185805581</v>
      </c>
      <c r="O160" s="55"/>
    </row>
    <row r="167" spans="19:19">
      <c r="S167" s="15"/>
    </row>
    <row r="184" spans="3:3">
      <c r="C184" s="15"/>
    </row>
    <row r="198" spans="2:25">
      <c r="B198" s="52"/>
      <c r="O198" s="52"/>
    </row>
    <row r="200" spans="2:25">
      <c r="B200" s="15"/>
      <c r="C200" s="15"/>
      <c r="D200" s="15"/>
      <c r="F200" s="15"/>
      <c r="G200" s="15"/>
      <c r="H200" s="15"/>
      <c r="O200" s="15"/>
      <c r="P200" s="15"/>
      <c r="Q200" s="15"/>
      <c r="R200" s="15"/>
      <c r="S200" s="15"/>
      <c r="U200" s="15"/>
    </row>
    <row r="203" spans="2:25">
      <c r="R203" s="15"/>
      <c r="S203" s="15"/>
      <c r="T203" s="15"/>
      <c r="U203" s="15"/>
      <c r="V203" s="15"/>
      <c r="W203" s="15"/>
      <c r="X203" s="15"/>
      <c r="Y203" s="15"/>
    </row>
    <row r="208" spans="2:25" ht="16">
      <c r="U208" s="63"/>
      <c r="V208" s="63"/>
      <c r="W208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89DA-C2F5-A84B-9108-F8CAFE5C77B3}">
  <dimension ref="A1:AE220"/>
  <sheetViews>
    <sheetView tabSelected="1" workbookViewId="0">
      <selection activeCell="F228" sqref="F228"/>
    </sheetView>
  </sheetViews>
  <sheetFormatPr baseColWidth="10" defaultRowHeight="15"/>
  <sheetData>
    <row r="1" spans="1:16">
      <c r="A1" s="1" t="s">
        <v>153</v>
      </c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</row>
    <row r="2" spans="1:16">
      <c r="A2" s="1"/>
      <c r="B2" s="1" t="s">
        <v>46</v>
      </c>
      <c r="C2" s="1" t="s">
        <v>105</v>
      </c>
      <c r="D2" s="1" t="s">
        <v>106</v>
      </c>
      <c r="E2" s="1" t="s">
        <v>48</v>
      </c>
      <c r="F2" s="1" t="s">
        <v>113</v>
      </c>
      <c r="G2" s="1" t="s">
        <v>114</v>
      </c>
      <c r="I2" s="1"/>
      <c r="J2" s="1" t="s">
        <v>46</v>
      </c>
      <c r="K2" s="1" t="s">
        <v>105</v>
      </c>
      <c r="L2" s="1" t="s">
        <v>106</v>
      </c>
      <c r="M2" s="1" t="s">
        <v>48</v>
      </c>
      <c r="N2" s="1" t="s">
        <v>113</v>
      </c>
      <c r="O2" s="1" t="s">
        <v>114</v>
      </c>
    </row>
    <row r="3" spans="1:16">
      <c r="A3" s="1">
        <v>7.8125E-2</v>
      </c>
      <c r="B3" s="1">
        <v>64.5</v>
      </c>
      <c r="C3" s="1">
        <v>66.5</v>
      </c>
      <c r="D3" s="1">
        <v>58</v>
      </c>
      <c r="E3" s="1">
        <v>70.5</v>
      </c>
      <c r="F3" s="1">
        <v>68.5</v>
      </c>
      <c r="G3" s="1">
        <v>69</v>
      </c>
      <c r="I3" s="1">
        <v>7.8125E-2</v>
      </c>
      <c r="J3" s="1">
        <v>59.5</v>
      </c>
      <c r="K3" s="1">
        <v>69</v>
      </c>
      <c r="L3" s="1">
        <v>56</v>
      </c>
      <c r="M3" s="1">
        <v>70.5</v>
      </c>
      <c r="N3" s="1">
        <v>58</v>
      </c>
      <c r="O3" s="1">
        <v>63</v>
      </c>
    </row>
    <row r="4" spans="1:16">
      <c r="A4" s="1">
        <v>0.15625</v>
      </c>
      <c r="B4" s="1">
        <v>73</v>
      </c>
      <c r="C4" s="1">
        <v>80</v>
      </c>
      <c r="D4" s="1">
        <v>68</v>
      </c>
      <c r="E4" s="1">
        <v>64</v>
      </c>
      <c r="F4" s="1">
        <v>60.5</v>
      </c>
      <c r="G4" s="1">
        <v>64.5</v>
      </c>
      <c r="I4" s="1">
        <v>0.15625</v>
      </c>
      <c r="J4" s="1">
        <v>61.5</v>
      </c>
      <c r="K4" s="1">
        <v>66.5</v>
      </c>
      <c r="L4" s="1">
        <v>55.5</v>
      </c>
      <c r="M4" s="1">
        <v>64</v>
      </c>
      <c r="N4" s="1">
        <v>65.5</v>
      </c>
      <c r="O4" s="1">
        <v>59.5</v>
      </c>
    </row>
    <row r="5" spans="1:16">
      <c r="A5" s="1">
        <v>0.3125</v>
      </c>
      <c r="B5" s="1">
        <v>74.5</v>
      </c>
      <c r="C5" s="1">
        <v>81.5</v>
      </c>
      <c r="D5" s="1">
        <v>67.5</v>
      </c>
      <c r="E5" s="1">
        <v>64.5</v>
      </c>
      <c r="F5" s="1">
        <v>66.5</v>
      </c>
      <c r="G5" s="1">
        <v>65.5</v>
      </c>
      <c r="I5" s="1">
        <v>0.3125</v>
      </c>
      <c r="J5" s="1">
        <v>58.5</v>
      </c>
      <c r="K5" s="1">
        <v>68.5</v>
      </c>
      <c r="L5" s="1">
        <v>53.5</v>
      </c>
      <c r="M5" s="1">
        <v>66</v>
      </c>
      <c r="N5" s="1">
        <v>67</v>
      </c>
      <c r="O5" s="1">
        <v>58.5</v>
      </c>
    </row>
    <row r="6" spans="1:16">
      <c r="A6" s="1">
        <v>0.625</v>
      </c>
      <c r="B6" s="1">
        <v>66.5</v>
      </c>
      <c r="C6" s="1">
        <v>74</v>
      </c>
      <c r="D6" s="1">
        <v>58.5</v>
      </c>
      <c r="E6" s="1">
        <v>72</v>
      </c>
      <c r="F6" s="1">
        <v>61.5</v>
      </c>
      <c r="G6" s="1">
        <v>64.5</v>
      </c>
      <c r="I6" s="1">
        <v>0.625</v>
      </c>
      <c r="J6" s="1">
        <v>57.5</v>
      </c>
      <c r="K6" s="1">
        <v>65</v>
      </c>
      <c r="L6" s="1">
        <v>43.5</v>
      </c>
      <c r="M6" s="1">
        <v>65</v>
      </c>
      <c r="N6" s="1">
        <v>71</v>
      </c>
      <c r="O6" s="1">
        <v>57.5</v>
      </c>
    </row>
    <row r="7" spans="1:16">
      <c r="A7" s="1">
        <v>1.25</v>
      </c>
      <c r="B7" s="1">
        <v>70.5</v>
      </c>
      <c r="C7" s="1">
        <v>77.5</v>
      </c>
      <c r="D7" s="1">
        <v>68.5</v>
      </c>
      <c r="E7" s="1">
        <v>66.5</v>
      </c>
      <c r="F7" s="1">
        <v>70.5</v>
      </c>
      <c r="G7" s="1">
        <v>67.5</v>
      </c>
      <c r="I7" s="1">
        <v>1.25</v>
      </c>
      <c r="J7" s="1">
        <v>62.5</v>
      </c>
      <c r="K7" s="1">
        <v>59</v>
      </c>
      <c r="L7" s="1">
        <v>60.5</v>
      </c>
      <c r="M7" s="1">
        <v>71</v>
      </c>
      <c r="N7" s="1">
        <v>63.5</v>
      </c>
      <c r="O7" s="1">
        <v>65</v>
      </c>
    </row>
    <row r="8" spans="1:16">
      <c r="A8" s="1">
        <v>2.5</v>
      </c>
      <c r="B8" s="1">
        <v>69.5</v>
      </c>
      <c r="C8" s="1">
        <v>69</v>
      </c>
      <c r="D8" s="1">
        <v>72.5</v>
      </c>
      <c r="E8" s="1">
        <v>63</v>
      </c>
      <c r="F8" s="1">
        <v>72</v>
      </c>
      <c r="G8" s="1">
        <v>67</v>
      </c>
      <c r="I8" s="1">
        <v>2.5</v>
      </c>
      <c r="J8" s="1">
        <v>63.5</v>
      </c>
      <c r="K8" s="1">
        <v>64.5</v>
      </c>
      <c r="L8" s="1">
        <v>64</v>
      </c>
      <c r="M8" s="1">
        <v>66.5</v>
      </c>
      <c r="N8" s="1">
        <v>75</v>
      </c>
      <c r="O8" s="1">
        <v>61</v>
      </c>
    </row>
    <row r="9" spans="1:16">
      <c r="A9" s="1">
        <v>5</v>
      </c>
      <c r="B9" s="1">
        <v>85</v>
      </c>
      <c r="C9" s="1">
        <v>77.5</v>
      </c>
      <c r="D9" s="1">
        <v>72</v>
      </c>
      <c r="E9" s="1">
        <v>78.5</v>
      </c>
      <c r="F9" s="1">
        <v>80.5</v>
      </c>
      <c r="G9" s="1">
        <v>68.5</v>
      </c>
      <c r="I9" s="1">
        <v>5</v>
      </c>
      <c r="J9" s="1">
        <v>80</v>
      </c>
      <c r="K9" s="1">
        <v>66.5</v>
      </c>
      <c r="L9" s="1">
        <v>90.5</v>
      </c>
      <c r="M9" s="1">
        <v>81</v>
      </c>
      <c r="N9" s="1">
        <v>80.5</v>
      </c>
      <c r="O9" s="1">
        <v>78</v>
      </c>
    </row>
    <row r="10" spans="1:16">
      <c r="A10" s="1">
        <v>10</v>
      </c>
      <c r="B10" s="1">
        <v>90</v>
      </c>
      <c r="C10" s="1">
        <v>85.5</v>
      </c>
      <c r="D10" s="1">
        <v>93.5</v>
      </c>
      <c r="E10" s="1">
        <v>89.5</v>
      </c>
      <c r="F10" s="1">
        <v>85</v>
      </c>
      <c r="G10" s="1">
        <v>82</v>
      </c>
      <c r="I10" s="1">
        <v>10</v>
      </c>
      <c r="J10" s="1">
        <v>103.5</v>
      </c>
      <c r="K10" s="1">
        <v>77.5</v>
      </c>
      <c r="L10" s="1">
        <v>100.5</v>
      </c>
      <c r="M10" s="1">
        <v>78</v>
      </c>
      <c r="N10" s="1">
        <v>93.5</v>
      </c>
      <c r="O10" s="1">
        <v>85.5</v>
      </c>
    </row>
    <row r="11" spans="1:16">
      <c r="A11" s="1">
        <v>20</v>
      </c>
      <c r="B11" s="1">
        <v>115.5</v>
      </c>
      <c r="C11" s="1">
        <v>89.5</v>
      </c>
      <c r="D11" s="1">
        <v>116</v>
      </c>
      <c r="E11" s="1">
        <v>99</v>
      </c>
      <c r="F11" s="1">
        <v>108</v>
      </c>
      <c r="G11" s="1">
        <v>96</v>
      </c>
      <c r="I11" s="1">
        <v>20</v>
      </c>
      <c r="J11" s="1">
        <v>130</v>
      </c>
      <c r="K11" s="1">
        <v>97</v>
      </c>
      <c r="L11" s="1">
        <v>129.5</v>
      </c>
      <c r="M11" s="1">
        <v>104.5</v>
      </c>
      <c r="N11" s="1">
        <v>109</v>
      </c>
      <c r="O11" s="1">
        <v>100.5</v>
      </c>
    </row>
    <row r="12" spans="1:16">
      <c r="A12" s="1">
        <v>40</v>
      </c>
      <c r="B12" s="1">
        <v>150</v>
      </c>
      <c r="C12" s="1">
        <v>107</v>
      </c>
      <c r="D12" s="1">
        <v>145</v>
      </c>
      <c r="E12" s="1">
        <v>106.5</v>
      </c>
      <c r="F12" s="1">
        <v>121</v>
      </c>
      <c r="G12" s="1">
        <v>122</v>
      </c>
      <c r="I12" s="1">
        <v>40</v>
      </c>
      <c r="J12" s="1">
        <v>160</v>
      </c>
      <c r="K12" s="1">
        <v>107</v>
      </c>
      <c r="L12" s="1">
        <v>151.5</v>
      </c>
      <c r="M12" s="1">
        <v>125</v>
      </c>
      <c r="N12" s="1">
        <v>131</v>
      </c>
      <c r="O12" s="1">
        <v>124.5</v>
      </c>
    </row>
    <row r="13" spans="1:16">
      <c r="A13" s="1">
        <v>80</v>
      </c>
      <c r="B13" s="1">
        <v>181.5</v>
      </c>
      <c r="C13" s="1">
        <v>125.5</v>
      </c>
      <c r="D13" s="1">
        <v>184.5</v>
      </c>
      <c r="E13" s="1">
        <v>144.5</v>
      </c>
      <c r="F13" s="1">
        <v>139</v>
      </c>
      <c r="G13" s="1">
        <v>143</v>
      </c>
      <c r="I13" s="1">
        <v>80</v>
      </c>
      <c r="J13" s="1">
        <v>177</v>
      </c>
      <c r="K13" s="1">
        <v>132</v>
      </c>
      <c r="L13" s="1">
        <v>173.5</v>
      </c>
      <c r="M13" s="1">
        <v>148</v>
      </c>
      <c r="N13" s="1">
        <v>147.5</v>
      </c>
      <c r="O13" s="1">
        <v>145.5</v>
      </c>
    </row>
    <row r="14" spans="1:16">
      <c r="A14" s="1">
        <v>160</v>
      </c>
      <c r="B14" s="1">
        <v>190</v>
      </c>
      <c r="C14" s="1">
        <v>151</v>
      </c>
      <c r="D14" s="1">
        <v>183.5</v>
      </c>
      <c r="E14" s="1">
        <v>169.5</v>
      </c>
      <c r="F14" s="1">
        <v>164</v>
      </c>
      <c r="G14" s="1">
        <v>163.5</v>
      </c>
      <c r="I14" s="1">
        <v>160</v>
      </c>
      <c r="J14" s="1">
        <v>180.5</v>
      </c>
      <c r="K14" s="1">
        <v>151</v>
      </c>
      <c r="L14" s="1">
        <v>171.5</v>
      </c>
      <c r="M14" s="1">
        <v>151.5</v>
      </c>
      <c r="N14" s="1">
        <v>159</v>
      </c>
      <c r="O14" s="1">
        <v>151</v>
      </c>
    </row>
    <row r="15" spans="1:16">
      <c r="A15" s="1">
        <v>320</v>
      </c>
      <c r="B15" s="1">
        <v>201</v>
      </c>
      <c r="C15" s="1">
        <v>165.5</v>
      </c>
      <c r="D15" s="1">
        <v>192.5</v>
      </c>
      <c r="E15" s="1">
        <v>177</v>
      </c>
      <c r="F15" s="1">
        <v>183.5</v>
      </c>
      <c r="G15" s="1">
        <v>165.5</v>
      </c>
      <c r="I15" s="1">
        <v>320</v>
      </c>
      <c r="J15" s="1">
        <v>183</v>
      </c>
      <c r="K15" s="1">
        <v>161</v>
      </c>
      <c r="L15" s="1">
        <v>170.5</v>
      </c>
      <c r="M15" s="1">
        <v>157.5</v>
      </c>
      <c r="N15" s="1">
        <v>148.5</v>
      </c>
      <c r="O15" s="1">
        <v>157</v>
      </c>
    </row>
    <row r="16" spans="1:16">
      <c r="A16" s="1" t="s">
        <v>157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5">
      <c r="A17" s="1"/>
      <c r="B17" s="1" t="s">
        <v>46</v>
      </c>
      <c r="C17" s="1" t="s">
        <v>105</v>
      </c>
      <c r="D17" s="1" t="s">
        <v>106</v>
      </c>
      <c r="E17" s="1" t="s">
        <v>48</v>
      </c>
      <c r="F17" s="1" t="s">
        <v>113</v>
      </c>
      <c r="G17" s="1" t="s">
        <v>114</v>
      </c>
      <c r="I17" s="1"/>
      <c r="J17" s="1" t="s">
        <v>46</v>
      </c>
      <c r="K17" s="1" t="s">
        <v>105</v>
      </c>
      <c r="L17" s="1" t="s">
        <v>106</v>
      </c>
      <c r="M17" s="1" t="s">
        <v>48</v>
      </c>
      <c r="N17" s="1" t="s">
        <v>113</v>
      </c>
      <c r="O17" s="1" t="s">
        <v>114</v>
      </c>
    </row>
    <row r="18" spans="1:15">
      <c r="A18" s="1">
        <v>7.8125E-2</v>
      </c>
      <c r="B18" s="1">
        <v>41.5</v>
      </c>
      <c r="C18" s="1">
        <v>60.5</v>
      </c>
      <c r="D18" s="1">
        <v>44.5</v>
      </c>
      <c r="E18" s="1">
        <v>71</v>
      </c>
      <c r="F18" s="1">
        <v>66</v>
      </c>
      <c r="G18" s="1">
        <v>61</v>
      </c>
      <c r="I18" s="1">
        <v>7.8125E-2</v>
      </c>
      <c r="J18" s="1">
        <v>48.5</v>
      </c>
      <c r="K18" s="1">
        <v>53</v>
      </c>
      <c r="L18" s="1">
        <v>42.5</v>
      </c>
      <c r="M18" s="1">
        <v>58</v>
      </c>
      <c r="N18" s="1">
        <v>55.5</v>
      </c>
      <c r="O18" s="1">
        <v>53.5</v>
      </c>
    </row>
    <row r="19" spans="1:15">
      <c r="A19" s="1">
        <v>0.15625</v>
      </c>
      <c r="B19" s="1">
        <v>54</v>
      </c>
      <c r="C19" s="1">
        <v>57</v>
      </c>
      <c r="D19" s="1">
        <v>55.5</v>
      </c>
      <c r="E19" s="1">
        <v>67</v>
      </c>
      <c r="F19" s="1">
        <v>72.5</v>
      </c>
      <c r="G19" s="1">
        <v>63.5</v>
      </c>
      <c r="I19" s="1">
        <v>0.15625</v>
      </c>
      <c r="J19" s="1">
        <v>56</v>
      </c>
      <c r="K19" s="1">
        <v>60</v>
      </c>
      <c r="L19" s="1">
        <v>43</v>
      </c>
      <c r="M19" s="1">
        <v>62</v>
      </c>
      <c r="N19" s="1">
        <v>63.5</v>
      </c>
      <c r="O19" s="1">
        <v>57.5</v>
      </c>
    </row>
    <row r="20" spans="1:15">
      <c r="A20" s="1">
        <v>0.3125</v>
      </c>
      <c r="B20" s="1">
        <v>48</v>
      </c>
      <c r="C20" s="1">
        <v>61</v>
      </c>
      <c r="D20" s="1">
        <v>47.5</v>
      </c>
      <c r="E20" s="1">
        <v>64</v>
      </c>
      <c r="F20" s="1">
        <v>62.5</v>
      </c>
      <c r="G20" s="1">
        <v>62</v>
      </c>
      <c r="I20" s="1">
        <v>0.3125</v>
      </c>
      <c r="J20" s="1">
        <v>51</v>
      </c>
      <c r="K20" s="1">
        <v>57.5</v>
      </c>
      <c r="L20" s="1">
        <v>46</v>
      </c>
      <c r="M20" s="1">
        <v>63</v>
      </c>
      <c r="N20" s="1">
        <v>80.5</v>
      </c>
      <c r="O20" s="1">
        <v>63</v>
      </c>
    </row>
    <row r="21" spans="1:15">
      <c r="A21" s="1">
        <v>0.625</v>
      </c>
      <c r="B21" s="1">
        <v>54.5</v>
      </c>
      <c r="C21" s="1">
        <v>59.5</v>
      </c>
      <c r="D21" s="1">
        <v>64.5</v>
      </c>
      <c r="E21" s="1">
        <v>69</v>
      </c>
      <c r="F21" s="1">
        <v>71.5</v>
      </c>
      <c r="G21" s="1">
        <v>63</v>
      </c>
      <c r="I21" s="1">
        <v>0.625</v>
      </c>
      <c r="J21" s="1">
        <v>55.5</v>
      </c>
      <c r="K21" s="1">
        <v>59</v>
      </c>
      <c r="L21" s="1">
        <v>57.5</v>
      </c>
      <c r="M21" s="1">
        <v>72.5</v>
      </c>
      <c r="N21" s="1">
        <v>74</v>
      </c>
      <c r="O21" s="1">
        <v>61.5</v>
      </c>
    </row>
    <row r="22" spans="1:15">
      <c r="A22" s="1">
        <v>1.25</v>
      </c>
      <c r="B22" s="1">
        <v>56.5</v>
      </c>
      <c r="C22" s="1">
        <v>55.5</v>
      </c>
      <c r="D22" s="1">
        <v>48</v>
      </c>
      <c r="E22" s="1">
        <v>68.5</v>
      </c>
      <c r="F22" s="1">
        <v>68.5</v>
      </c>
      <c r="G22" s="1">
        <v>66</v>
      </c>
      <c r="I22" s="1">
        <v>1.25</v>
      </c>
      <c r="J22" s="1">
        <v>56.5</v>
      </c>
      <c r="K22" s="1">
        <v>65</v>
      </c>
      <c r="L22" s="1">
        <v>52.5</v>
      </c>
      <c r="M22" s="1">
        <v>64.5</v>
      </c>
      <c r="N22" s="1">
        <v>62</v>
      </c>
      <c r="O22" s="1">
        <v>66</v>
      </c>
    </row>
    <row r="23" spans="1:15">
      <c r="A23" s="1">
        <v>2.5</v>
      </c>
      <c r="B23" s="1">
        <v>55</v>
      </c>
      <c r="C23" s="1">
        <v>61.5</v>
      </c>
      <c r="D23" s="1">
        <v>54</v>
      </c>
      <c r="E23" s="1">
        <v>69.5</v>
      </c>
      <c r="F23" s="1">
        <v>68</v>
      </c>
      <c r="G23" s="1">
        <v>70.5</v>
      </c>
      <c r="I23" s="1">
        <v>2.5</v>
      </c>
      <c r="J23" s="1">
        <v>65</v>
      </c>
      <c r="K23" s="1">
        <v>67</v>
      </c>
      <c r="L23" s="1">
        <v>73.5</v>
      </c>
      <c r="M23" s="1">
        <v>75</v>
      </c>
      <c r="N23" s="1">
        <v>75</v>
      </c>
      <c r="O23" s="1">
        <v>67.5</v>
      </c>
    </row>
    <row r="24" spans="1:15">
      <c r="A24" s="1">
        <v>5</v>
      </c>
      <c r="B24" s="1">
        <v>69.5</v>
      </c>
      <c r="C24" s="1">
        <v>59.5</v>
      </c>
      <c r="D24" s="1">
        <v>76.5</v>
      </c>
      <c r="E24" s="1">
        <v>78.5</v>
      </c>
      <c r="F24" s="1">
        <v>74</v>
      </c>
      <c r="G24" s="1">
        <v>75.5</v>
      </c>
      <c r="I24" s="1">
        <v>5</v>
      </c>
      <c r="J24" s="1">
        <v>83.5</v>
      </c>
      <c r="K24" s="1">
        <v>69.5</v>
      </c>
      <c r="L24" s="1">
        <v>91</v>
      </c>
      <c r="M24" s="1">
        <v>89.5</v>
      </c>
      <c r="N24" s="1">
        <v>91.5</v>
      </c>
      <c r="O24" s="1">
        <v>86.5</v>
      </c>
    </row>
    <row r="25" spans="1:15">
      <c r="A25" s="1">
        <v>10</v>
      </c>
      <c r="B25" s="1">
        <v>97.5</v>
      </c>
      <c r="C25" s="1">
        <v>70</v>
      </c>
      <c r="D25" s="1">
        <v>97.5</v>
      </c>
      <c r="E25" s="1">
        <v>85.5</v>
      </c>
      <c r="F25" s="1">
        <v>89</v>
      </c>
      <c r="G25" s="1">
        <v>90.5</v>
      </c>
      <c r="I25" s="1">
        <v>10</v>
      </c>
      <c r="J25" s="1">
        <v>115</v>
      </c>
      <c r="K25" s="1">
        <v>81</v>
      </c>
      <c r="L25" s="1">
        <v>119.5</v>
      </c>
      <c r="M25" s="1">
        <v>98.5</v>
      </c>
      <c r="N25" s="1">
        <v>106</v>
      </c>
      <c r="O25" s="1">
        <v>100.5</v>
      </c>
    </row>
    <row r="26" spans="1:15">
      <c r="A26" s="1">
        <v>20</v>
      </c>
      <c r="B26" s="1">
        <v>138</v>
      </c>
      <c r="C26" s="1">
        <v>91.5</v>
      </c>
      <c r="D26" s="1">
        <v>146.5</v>
      </c>
      <c r="E26" s="1">
        <v>118.5</v>
      </c>
      <c r="F26" s="1">
        <v>121</v>
      </c>
      <c r="G26" s="1">
        <v>116</v>
      </c>
      <c r="I26" s="1">
        <v>20</v>
      </c>
      <c r="J26" s="1">
        <v>160</v>
      </c>
      <c r="K26" s="1">
        <v>102.5</v>
      </c>
      <c r="L26" s="1">
        <v>176.5</v>
      </c>
      <c r="M26" s="1">
        <v>134.5</v>
      </c>
      <c r="N26" s="1">
        <v>135.5</v>
      </c>
      <c r="O26" s="1">
        <v>139.5</v>
      </c>
    </row>
    <row r="27" spans="1:15">
      <c r="A27" s="1">
        <v>40</v>
      </c>
      <c r="B27" s="1">
        <v>193.5</v>
      </c>
      <c r="C27" s="1">
        <v>125.5</v>
      </c>
      <c r="D27" s="1">
        <v>195</v>
      </c>
      <c r="E27" s="1">
        <v>163.5</v>
      </c>
      <c r="F27" s="1">
        <v>159.5</v>
      </c>
      <c r="G27" s="1">
        <v>158</v>
      </c>
      <c r="I27" s="1">
        <v>40</v>
      </c>
      <c r="J27" s="1">
        <v>212.5</v>
      </c>
      <c r="K27" s="1">
        <v>146</v>
      </c>
      <c r="L27" s="1">
        <v>227.5</v>
      </c>
      <c r="M27" s="1">
        <v>183.5</v>
      </c>
      <c r="N27" s="1">
        <v>187.5</v>
      </c>
      <c r="O27" s="1">
        <v>185</v>
      </c>
    </row>
    <row r="28" spans="1:15">
      <c r="A28" s="1">
        <v>80</v>
      </c>
      <c r="B28" s="1">
        <v>240</v>
      </c>
      <c r="C28" s="1">
        <v>171</v>
      </c>
      <c r="D28" s="1">
        <v>245</v>
      </c>
      <c r="E28" s="1">
        <v>210.5</v>
      </c>
      <c r="F28" s="1">
        <v>203.5</v>
      </c>
      <c r="G28" s="1">
        <v>205</v>
      </c>
      <c r="I28" s="1">
        <v>80</v>
      </c>
      <c r="J28" s="1">
        <v>245</v>
      </c>
      <c r="K28" s="1">
        <v>203.5</v>
      </c>
      <c r="L28" s="1">
        <v>255</v>
      </c>
      <c r="M28" s="1">
        <v>224.5</v>
      </c>
      <c r="N28" s="1">
        <v>219.5</v>
      </c>
      <c r="O28" s="1">
        <v>219.5</v>
      </c>
    </row>
    <row r="29" spans="1:15">
      <c r="A29" s="1">
        <v>160</v>
      </c>
      <c r="B29" s="1">
        <v>260</v>
      </c>
      <c r="C29" s="1">
        <v>219</v>
      </c>
      <c r="D29" s="1">
        <v>261</v>
      </c>
      <c r="E29" s="1">
        <v>235</v>
      </c>
      <c r="F29" s="1">
        <v>238.5</v>
      </c>
      <c r="G29" s="1">
        <v>233.5</v>
      </c>
      <c r="I29" s="1">
        <v>160</v>
      </c>
      <c r="J29" s="1">
        <v>250.5</v>
      </c>
      <c r="K29" s="1">
        <v>249</v>
      </c>
      <c r="L29" s="1">
        <v>254</v>
      </c>
      <c r="M29" s="1">
        <v>236.5</v>
      </c>
      <c r="N29" s="1">
        <v>250</v>
      </c>
      <c r="O29" s="1">
        <v>242</v>
      </c>
    </row>
    <row r="30" spans="1:15">
      <c r="A30" s="1">
        <v>320</v>
      </c>
      <c r="B30" s="1">
        <v>271</v>
      </c>
      <c r="C30" s="1">
        <v>256.5</v>
      </c>
      <c r="D30" s="1">
        <v>271.5</v>
      </c>
      <c r="E30" s="1">
        <v>245.5</v>
      </c>
      <c r="F30" s="1">
        <v>253.5</v>
      </c>
      <c r="G30" s="1">
        <v>251.5</v>
      </c>
      <c r="I30" s="1">
        <v>320</v>
      </c>
      <c r="J30" s="1">
        <v>263.5</v>
      </c>
      <c r="K30" s="1">
        <v>264.5</v>
      </c>
      <c r="L30" s="1">
        <v>277</v>
      </c>
      <c r="M30" s="1">
        <v>240.5</v>
      </c>
      <c r="N30" s="1">
        <v>246</v>
      </c>
      <c r="O30" s="1">
        <v>247.5</v>
      </c>
    </row>
    <row r="31" spans="1:15">
      <c r="A31" s="1" t="s">
        <v>156</v>
      </c>
      <c r="B31" s="1"/>
      <c r="C31" s="1"/>
      <c r="D31" s="1"/>
      <c r="E31" s="1"/>
      <c r="F31" s="1"/>
      <c r="G31" s="1"/>
      <c r="I31" s="1"/>
      <c r="J31" s="1"/>
      <c r="K31" s="1"/>
      <c r="L31" s="1"/>
      <c r="M31" s="1"/>
      <c r="N31" s="1"/>
      <c r="O31" s="1"/>
    </row>
    <row r="32" spans="1:15">
      <c r="A32" s="1"/>
      <c r="B32" s="1" t="s">
        <v>46</v>
      </c>
      <c r="C32" s="1" t="s">
        <v>105</v>
      </c>
      <c r="D32" s="1" t="s">
        <v>106</v>
      </c>
      <c r="E32" s="1" t="s">
        <v>48</v>
      </c>
      <c r="F32" s="1" t="s">
        <v>113</v>
      </c>
      <c r="G32" s="1" t="s">
        <v>114</v>
      </c>
      <c r="I32" s="1"/>
      <c r="J32" s="1" t="s">
        <v>46</v>
      </c>
      <c r="K32" s="1" t="s">
        <v>105</v>
      </c>
      <c r="L32" s="1" t="s">
        <v>106</v>
      </c>
      <c r="M32" s="1" t="s">
        <v>48</v>
      </c>
      <c r="N32" s="1" t="s">
        <v>113</v>
      </c>
      <c r="O32" s="1" t="s">
        <v>114</v>
      </c>
    </row>
    <row r="33" spans="1:15">
      <c r="A33" s="1">
        <v>7.8125E-2</v>
      </c>
      <c r="B33" s="1">
        <v>67</v>
      </c>
      <c r="C33" s="1">
        <v>74</v>
      </c>
      <c r="D33" s="1">
        <v>62</v>
      </c>
      <c r="E33" s="1">
        <v>63</v>
      </c>
      <c r="F33" s="1">
        <v>76.5</v>
      </c>
      <c r="G33" s="1">
        <v>81.5</v>
      </c>
      <c r="I33" s="1">
        <v>7.8125E-2</v>
      </c>
      <c r="J33" s="1">
        <v>51.5</v>
      </c>
      <c r="K33" s="1">
        <v>63.5</v>
      </c>
      <c r="L33" s="1">
        <v>56</v>
      </c>
      <c r="M33" s="1">
        <v>60.5</v>
      </c>
      <c r="N33" s="1">
        <v>70.5</v>
      </c>
      <c r="O33" s="1">
        <v>72.5</v>
      </c>
    </row>
    <row r="34" spans="1:15">
      <c r="A34" s="1">
        <v>0.15625</v>
      </c>
      <c r="B34" s="1">
        <v>59</v>
      </c>
      <c r="C34" s="1">
        <v>73</v>
      </c>
      <c r="D34" s="1">
        <v>62</v>
      </c>
      <c r="E34" s="1">
        <v>75</v>
      </c>
      <c r="F34" s="1">
        <v>75.5</v>
      </c>
      <c r="G34" s="1">
        <v>73.5</v>
      </c>
      <c r="I34" s="1">
        <v>0.15625</v>
      </c>
      <c r="J34" s="1">
        <v>60.5</v>
      </c>
      <c r="K34" s="1">
        <v>61.5</v>
      </c>
      <c r="L34" s="1">
        <v>59.5</v>
      </c>
      <c r="M34" s="1">
        <v>68</v>
      </c>
      <c r="N34" s="1">
        <v>71</v>
      </c>
      <c r="O34" s="1">
        <v>69.5</v>
      </c>
    </row>
    <row r="35" spans="1:15">
      <c r="A35" s="1">
        <v>0.3125</v>
      </c>
      <c r="B35" s="1">
        <v>56</v>
      </c>
      <c r="C35" s="1">
        <v>73</v>
      </c>
      <c r="D35" s="1">
        <v>66</v>
      </c>
      <c r="E35" s="1">
        <v>72</v>
      </c>
      <c r="F35" s="1">
        <v>76</v>
      </c>
      <c r="G35" s="1">
        <v>84.5</v>
      </c>
      <c r="I35" s="1">
        <v>0.3125</v>
      </c>
      <c r="J35" s="1">
        <v>56</v>
      </c>
      <c r="K35" s="1">
        <v>68</v>
      </c>
      <c r="L35" s="1">
        <v>67.5</v>
      </c>
      <c r="M35" s="1">
        <v>71</v>
      </c>
      <c r="N35" s="1">
        <v>74.5</v>
      </c>
      <c r="O35" s="1">
        <v>79.5</v>
      </c>
    </row>
    <row r="36" spans="1:15">
      <c r="A36" s="1">
        <v>0.625</v>
      </c>
      <c r="B36" s="1">
        <v>71.5</v>
      </c>
      <c r="C36" s="1">
        <v>71</v>
      </c>
      <c r="D36" s="1">
        <v>67</v>
      </c>
      <c r="E36" s="1">
        <v>72</v>
      </c>
      <c r="F36" s="1">
        <v>72.5</v>
      </c>
      <c r="G36" s="1">
        <v>82</v>
      </c>
      <c r="I36" s="1">
        <v>0.625</v>
      </c>
      <c r="J36" s="1">
        <v>61.5</v>
      </c>
      <c r="K36" s="1">
        <v>61</v>
      </c>
      <c r="L36" s="1">
        <v>62.5</v>
      </c>
      <c r="M36" s="1">
        <v>76.5</v>
      </c>
      <c r="N36" s="1">
        <v>65</v>
      </c>
      <c r="O36" s="1">
        <v>83</v>
      </c>
    </row>
    <row r="37" spans="1:15">
      <c r="A37" s="1">
        <v>1.25</v>
      </c>
      <c r="B37" s="1">
        <v>68.5</v>
      </c>
      <c r="C37" s="1">
        <v>73.5</v>
      </c>
      <c r="D37" s="1">
        <v>77</v>
      </c>
      <c r="E37" s="1">
        <v>81</v>
      </c>
      <c r="F37" s="1">
        <v>81.5</v>
      </c>
      <c r="G37" s="1">
        <v>82</v>
      </c>
      <c r="I37" s="1">
        <v>1.25</v>
      </c>
      <c r="J37" s="1">
        <v>62.5</v>
      </c>
      <c r="K37" s="1">
        <v>67.5</v>
      </c>
      <c r="L37" s="1">
        <v>76.5</v>
      </c>
      <c r="M37" s="1">
        <v>78</v>
      </c>
      <c r="N37" s="1">
        <v>75.5</v>
      </c>
      <c r="O37" s="1">
        <v>81</v>
      </c>
    </row>
    <row r="38" spans="1:15">
      <c r="A38" s="1">
        <v>2.5</v>
      </c>
      <c r="B38" s="1">
        <v>73</v>
      </c>
      <c r="C38" s="1">
        <v>71.5</v>
      </c>
      <c r="D38" s="1">
        <v>84</v>
      </c>
      <c r="E38" s="1">
        <v>87</v>
      </c>
      <c r="F38" s="1">
        <v>92.5</v>
      </c>
      <c r="G38" s="1">
        <v>91</v>
      </c>
      <c r="I38" s="1">
        <v>2.5</v>
      </c>
      <c r="J38" s="1">
        <v>87</v>
      </c>
      <c r="K38" s="1">
        <v>63.5</v>
      </c>
      <c r="L38" s="1">
        <v>97.5</v>
      </c>
      <c r="M38" s="1">
        <v>87.5</v>
      </c>
      <c r="N38" s="1">
        <v>87</v>
      </c>
      <c r="O38" s="1">
        <v>87.5</v>
      </c>
    </row>
    <row r="39" spans="1:15">
      <c r="A39" s="1">
        <v>5</v>
      </c>
      <c r="B39" s="1">
        <v>87.5</v>
      </c>
      <c r="C39" s="1">
        <v>78.5</v>
      </c>
      <c r="D39" s="1">
        <v>106.5</v>
      </c>
      <c r="E39" s="1">
        <v>102.5</v>
      </c>
      <c r="F39" s="1">
        <v>93</v>
      </c>
      <c r="G39" s="1">
        <v>102</v>
      </c>
      <c r="I39" s="1">
        <v>5</v>
      </c>
      <c r="J39" s="1">
        <v>105.5</v>
      </c>
      <c r="K39" s="1">
        <v>78.5</v>
      </c>
      <c r="L39" s="1">
        <v>121.5</v>
      </c>
      <c r="M39" s="1">
        <v>106</v>
      </c>
      <c r="N39" s="1">
        <v>106</v>
      </c>
      <c r="O39" s="1">
        <v>111.5</v>
      </c>
    </row>
    <row r="40" spans="1:15">
      <c r="A40" s="1">
        <v>10</v>
      </c>
      <c r="B40" s="1">
        <v>117</v>
      </c>
      <c r="C40" s="1">
        <v>98.5</v>
      </c>
      <c r="D40" s="1">
        <v>128.5</v>
      </c>
      <c r="E40" s="1">
        <v>117.5</v>
      </c>
      <c r="F40" s="1">
        <v>123.5</v>
      </c>
      <c r="G40" s="1">
        <v>129.5</v>
      </c>
      <c r="I40" s="1">
        <v>10</v>
      </c>
      <c r="J40" s="1">
        <v>156</v>
      </c>
      <c r="K40" s="1">
        <v>96.5</v>
      </c>
      <c r="L40" s="1">
        <v>165</v>
      </c>
      <c r="M40" s="1">
        <v>129</v>
      </c>
      <c r="N40" s="1">
        <v>143.5</v>
      </c>
      <c r="O40" s="1">
        <v>151</v>
      </c>
    </row>
    <row r="41" spans="1:15">
      <c r="A41" s="1">
        <v>20</v>
      </c>
      <c r="B41" s="1">
        <v>188</v>
      </c>
      <c r="C41" s="1">
        <v>129</v>
      </c>
      <c r="D41" s="1">
        <v>206</v>
      </c>
      <c r="E41" s="1">
        <v>169.5</v>
      </c>
      <c r="F41" s="1">
        <v>164.5</v>
      </c>
      <c r="G41" s="1">
        <v>173</v>
      </c>
      <c r="I41" s="1">
        <v>20</v>
      </c>
      <c r="J41" s="1">
        <v>223</v>
      </c>
      <c r="K41" s="1">
        <v>144</v>
      </c>
      <c r="L41" s="1">
        <v>234</v>
      </c>
      <c r="M41" s="1">
        <v>187</v>
      </c>
      <c r="N41" s="1">
        <v>202.5</v>
      </c>
      <c r="O41" s="1">
        <v>193.5</v>
      </c>
    </row>
    <row r="42" spans="1:15">
      <c r="A42" s="1">
        <v>40</v>
      </c>
      <c r="B42" s="1">
        <v>251.5</v>
      </c>
      <c r="C42" s="1">
        <v>165.5</v>
      </c>
      <c r="D42" s="1">
        <v>262</v>
      </c>
      <c r="E42" s="1">
        <v>218.5</v>
      </c>
      <c r="F42" s="1">
        <v>223</v>
      </c>
      <c r="G42" s="1">
        <v>218</v>
      </c>
      <c r="I42" s="1">
        <v>40</v>
      </c>
      <c r="J42" s="1">
        <v>275.5</v>
      </c>
      <c r="K42" s="1">
        <v>203.5</v>
      </c>
      <c r="L42" s="1">
        <v>267.5</v>
      </c>
      <c r="M42" s="1">
        <v>235.5</v>
      </c>
      <c r="N42" s="1">
        <v>253</v>
      </c>
      <c r="O42" s="1">
        <v>245</v>
      </c>
    </row>
    <row r="43" spans="1:15">
      <c r="A43" s="1">
        <v>80</v>
      </c>
      <c r="B43" s="1">
        <v>293</v>
      </c>
      <c r="C43" s="1">
        <v>225.5</v>
      </c>
      <c r="D43" s="1">
        <v>295.5</v>
      </c>
      <c r="E43" s="1">
        <v>267</v>
      </c>
      <c r="F43" s="1">
        <v>259</v>
      </c>
      <c r="G43" s="1">
        <v>271.5</v>
      </c>
      <c r="I43" s="1">
        <v>80</v>
      </c>
      <c r="J43" s="1">
        <v>292</v>
      </c>
      <c r="K43" s="1">
        <v>261</v>
      </c>
      <c r="L43" s="1">
        <v>294</v>
      </c>
      <c r="M43" s="1">
        <v>273</v>
      </c>
      <c r="N43" s="1">
        <v>268.5</v>
      </c>
      <c r="O43" s="1">
        <v>273</v>
      </c>
    </row>
    <row r="44" spans="1:15">
      <c r="A44" s="1">
        <v>160</v>
      </c>
      <c r="B44" s="1">
        <v>308.5</v>
      </c>
      <c r="C44" s="1">
        <v>287.5</v>
      </c>
      <c r="D44" s="1">
        <v>315</v>
      </c>
      <c r="E44" s="1">
        <v>293.5</v>
      </c>
      <c r="F44" s="1">
        <v>301.5</v>
      </c>
      <c r="G44" s="1">
        <v>285.5</v>
      </c>
      <c r="I44" s="1">
        <v>160</v>
      </c>
      <c r="J44" s="1">
        <v>309.5</v>
      </c>
      <c r="K44" s="1">
        <v>296.5</v>
      </c>
      <c r="L44" s="1">
        <v>298.5</v>
      </c>
      <c r="M44" s="1">
        <v>297</v>
      </c>
      <c r="N44" s="1">
        <v>298</v>
      </c>
      <c r="O44" s="1">
        <v>283</v>
      </c>
    </row>
    <row r="45" spans="1:15">
      <c r="A45" s="1">
        <v>320</v>
      </c>
      <c r="B45" s="1">
        <v>326</v>
      </c>
      <c r="C45" s="1">
        <v>318.5</v>
      </c>
      <c r="D45" s="1">
        <v>304.5</v>
      </c>
      <c r="E45" s="1">
        <v>315</v>
      </c>
      <c r="F45" s="1">
        <v>310.5</v>
      </c>
      <c r="G45" s="1">
        <v>314</v>
      </c>
      <c r="I45" s="1">
        <v>320</v>
      </c>
      <c r="J45" s="1">
        <v>313</v>
      </c>
      <c r="K45" s="1">
        <v>319</v>
      </c>
      <c r="L45" s="1">
        <v>285.5</v>
      </c>
      <c r="M45" s="1">
        <v>305</v>
      </c>
      <c r="N45" s="1">
        <v>298</v>
      </c>
      <c r="O45" s="1">
        <v>294</v>
      </c>
    </row>
    <row r="46" spans="1:15">
      <c r="A46" s="1" t="s">
        <v>159</v>
      </c>
      <c r="B46" s="1"/>
      <c r="C46" s="1"/>
      <c r="D46" s="1"/>
      <c r="E46" s="1"/>
      <c r="F46" s="1"/>
      <c r="G46" s="1"/>
    </row>
    <row r="47" spans="1:15">
      <c r="A47" s="1"/>
      <c r="B47" s="1" t="s">
        <v>46</v>
      </c>
      <c r="C47" s="1" t="s">
        <v>105</v>
      </c>
      <c r="D47" s="1" t="s">
        <v>106</v>
      </c>
      <c r="E47" s="1" t="s">
        <v>48</v>
      </c>
      <c r="F47" s="1" t="s">
        <v>113</v>
      </c>
      <c r="G47" s="1" t="s">
        <v>114</v>
      </c>
      <c r="I47" s="1"/>
      <c r="J47" s="1" t="s">
        <v>46</v>
      </c>
      <c r="K47" s="1" t="s">
        <v>105</v>
      </c>
      <c r="L47" s="1" t="s">
        <v>106</v>
      </c>
      <c r="M47" s="1" t="s">
        <v>48</v>
      </c>
      <c r="N47" s="1" t="s">
        <v>113</v>
      </c>
      <c r="O47" s="1" t="s">
        <v>114</v>
      </c>
    </row>
    <row r="48" spans="1:15">
      <c r="A48" s="1">
        <v>7.8125E-2</v>
      </c>
      <c r="B48" s="1">
        <v>56.5</v>
      </c>
      <c r="C48" s="1">
        <v>57</v>
      </c>
      <c r="D48" s="1">
        <v>57.5</v>
      </c>
      <c r="E48" s="1">
        <v>68.5</v>
      </c>
      <c r="F48" s="1">
        <v>73</v>
      </c>
      <c r="G48" s="1">
        <v>63</v>
      </c>
      <c r="I48" s="1">
        <v>7.8125E-2</v>
      </c>
      <c r="J48" s="1">
        <v>62</v>
      </c>
      <c r="K48" s="1">
        <v>74</v>
      </c>
      <c r="L48" s="1">
        <v>65</v>
      </c>
      <c r="M48" s="1">
        <v>76</v>
      </c>
      <c r="N48" s="1">
        <v>83</v>
      </c>
      <c r="O48" s="1">
        <v>73</v>
      </c>
    </row>
    <row r="49" spans="1:31">
      <c r="A49" s="1">
        <v>0.15625</v>
      </c>
      <c r="B49" s="1">
        <v>53</v>
      </c>
      <c r="C49" s="1">
        <v>70.5</v>
      </c>
      <c r="D49" s="1">
        <v>50</v>
      </c>
      <c r="E49" s="1">
        <v>73</v>
      </c>
      <c r="F49" s="1">
        <v>73</v>
      </c>
      <c r="G49" s="1">
        <v>73</v>
      </c>
      <c r="I49" s="1">
        <v>0.15625</v>
      </c>
      <c r="J49" s="1">
        <v>65</v>
      </c>
      <c r="K49" s="1">
        <v>67</v>
      </c>
      <c r="L49" s="1">
        <v>61.5</v>
      </c>
      <c r="M49" s="1">
        <v>71</v>
      </c>
      <c r="N49" s="1">
        <v>77</v>
      </c>
      <c r="O49" s="1">
        <v>76.5</v>
      </c>
    </row>
    <row r="50" spans="1:31">
      <c r="A50" s="1">
        <v>0.3125</v>
      </c>
      <c r="B50" s="1">
        <v>57.5</v>
      </c>
      <c r="C50" s="1">
        <v>61</v>
      </c>
      <c r="D50" s="1">
        <v>60</v>
      </c>
      <c r="E50" s="1">
        <v>78</v>
      </c>
      <c r="F50" s="1">
        <v>75.5</v>
      </c>
      <c r="G50" s="1">
        <v>75</v>
      </c>
      <c r="I50" s="1">
        <v>0.3125</v>
      </c>
      <c r="J50" s="1">
        <v>62.5</v>
      </c>
      <c r="K50" s="1">
        <v>72</v>
      </c>
      <c r="L50" s="1">
        <v>69.5</v>
      </c>
      <c r="M50" s="1">
        <v>66</v>
      </c>
      <c r="N50" s="1">
        <v>73</v>
      </c>
      <c r="O50" s="1">
        <v>71.5</v>
      </c>
    </row>
    <row r="51" spans="1:31">
      <c r="A51" s="1">
        <v>0.625</v>
      </c>
      <c r="B51" s="1">
        <v>55.5</v>
      </c>
      <c r="C51" s="1">
        <v>69</v>
      </c>
      <c r="D51" s="1">
        <v>60.5</v>
      </c>
      <c r="E51" s="1">
        <v>68.5</v>
      </c>
      <c r="F51" s="1">
        <v>77</v>
      </c>
      <c r="G51" s="1">
        <v>78</v>
      </c>
      <c r="I51" s="1">
        <v>0.625</v>
      </c>
      <c r="J51" s="1">
        <v>64</v>
      </c>
      <c r="K51" s="1">
        <v>67.5</v>
      </c>
      <c r="L51" s="1">
        <v>58</v>
      </c>
      <c r="M51" s="1">
        <v>77</v>
      </c>
      <c r="N51" s="1">
        <v>77.5</v>
      </c>
      <c r="O51" s="1">
        <v>74.5</v>
      </c>
    </row>
    <row r="52" spans="1:31">
      <c r="A52" s="1">
        <v>1.25</v>
      </c>
      <c r="B52" s="1">
        <v>57.5</v>
      </c>
      <c r="C52" s="1">
        <v>69</v>
      </c>
      <c r="D52" s="1">
        <v>52</v>
      </c>
      <c r="E52" s="1">
        <v>70</v>
      </c>
      <c r="F52" s="1">
        <v>72.5</v>
      </c>
      <c r="G52" s="1">
        <v>71.5</v>
      </c>
      <c r="I52" s="1">
        <v>1.25</v>
      </c>
      <c r="J52" s="1">
        <v>71</v>
      </c>
      <c r="K52" s="1">
        <v>70.5</v>
      </c>
      <c r="L52" s="1">
        <v>63.5</v>
      </c>
      <c r="M52" s="1">
        <v>83</v>
      </c>
      <c r="N52" s="1">
        <v>72.5</v>
      </c>
      <c r="O52" s="1">
        <v>85.5</v>
      </c>
    </row>
    <row r="53" spans="1:31">
      <c r="A53" s="1">
        <v>2.5</v>
      </c>
      <c r="B53" s="1">
        <v>64</v>
      </c>
      <c r="C53" s="1">
        <v>67.5</v>
      </c>
      <c r="D53" s="1">
        <v>71.5</v>
      </c>
      <c r="E53" s="1">
        <v>72</v>
      </c>
      <c r="F53" s="1">
        <v>80.5</v>
      </c>
      <c r="G53" s="1">
        <v>70.5</v>
      </c>
      <c r="I53" s="1">
        <v>2.5</v>
      </c>
      <c r="J53" s="1">
        <v>66</v>
      </c>
      <c r="K53" s="1">
        <v>73</v>
      </c>
      <c r="L53" s="1">
        <v>76</v>
      </c>
      <c r="M53" s="1">
        <v>74.5</v>
      </c>
      <c r="N53" s="1">
        <v>79.5</v>
      </c>
      <c r="O53" s="1">
        <v>72.5</v>
      </c>
    </row>
    <row r="54" spans="1:31">
      <c r="A54" s="1">
        <v>5</v>
      </c>
      <c r="B54" s="1">
        <v>65</v>
      </c>
      <c r="C54" s="1">
        <v>66.5</v>
      </c>
      <c r="D54" s="1">
        <v>77</v>
      </c>
      <c r="E54" s="1">
        <v>76</v>
      </c>
      <c r="F54" s="1">
        <v>81.5</v>
      </c>
      <c r="G54" s="1">
        <v>77.5</v>
      </c>
      <c r="I54" s="1">
        <v>5</v>
      </c>
      <c r="J54" s="1">
        <v>86.5</v>
      </c>
      <c r="K54" s="1">
        <v>77</v>
      </c>
      <c r="L54" s="1">
        <v>91.5</v>
      </c>
      <c r="M54" s="1">
        <v>90</v>
      </c>
      <c r="N54" s="1">
        <v>90.5</v>
      </c>
      <c r="O54" s="1">
        <v>93</v>
      </c>
    </row>
    <row r="55" spans="1:31">
      <c r="A55" s="1">
        <v>10</v>
      </c>
      <c r="B55" s="1">
        <v>96</v>
      </c>
      <c r="C55" s="1">
        <v>75.5</v>
      </c>
      <c r="D55" s="1">
        <v>80.5</v>
      </c>
      <c r="E55" s="1">
        <v>83.5</v>
      </c>
      <c r="F55" s="1">
        <v>95</v>
      </c>
      <c r="G55" s="1">
        <v>86</v>
      </c>
      <c r="I55" s="1">
        <v>10</v>
      </c>
      <c r="J55" s="1">
        <v>116.5</v>
      </c>
      <c r="K55" s="1">
        <v>83</v>
      </c>
      <c r="L55" s="1">
        <v>120.5</v>
      </c>
      <c r="M55" s="1">
        <v>104.5</v>
      </c>
      <c r="N55" s="1">
        <v>109.5</v>
      </c>
      <c r="O55" s="1">
        <v>106.5</v>
      </c>
    </row>
    <row r="56" spans="1:31">
      <c r="A56" s="1">
        <v>20</v>
      </c>
      <c r="B56" s="1">
        <v>136</v>
      </c>
      <c r="C56" s="1">
        <v>91.5</v>
      </c>
      <c r="D56" s="1">
        <v>136</v>
      </c>
      <c r="E56" s="1">
        <v>106</v>
      </c>
      <c r="F56" s="1">
        <v>119</v>
      </c>
      <c r="G56" s="1">
        <v>118.5</v>
      </c>
      <c r="I56" s="1">
        <v>20</v>
      </c>
      <c r="J56" s="1">
        <v>166</v>
      </c>
      <c r="K56" s="1">
        <v>110</v>
      </c>
      <c r="L56" s="1">
        <v>179.5</v>
      </c>
      <c r="M56" s="1">
        <v>135.5</v>
      </c>
      <c r="N56" s="1">
        <v>147.5</v>
      </c>
      <c r="O56" s="1">
        <v>135</v>
      </c>
    </row>
    <row r="57" spans="1:31">
      <c r="A57" s="1">
        <v>40</v>
      </c>
      <c r="B57" s="1">
        <v>176.5</v>
      </c>
      <c r="C57" s="1">
        <v>116.5</v>
      </c>
      <c r="D57" s="1">
        <v>191</v>
      </c>
      <c r="E57" s="1">
        <v>145</v>
      </c>
      <c r="F57" s="1">
        <v>152</v>
      </c>
      <c r="G57" s="1">
        <v>155.5</v>
      </c>
      <c r="I57" s="1">
        <v>40</v>
      </c>
      <c r="J57" s="1">
        <v>215</v>
      </c>
      <c r="K57" s="1">
        <v>141.5</v>
      </c>
      <c r="L57" s="1">
        <v>231</v>
      </c>
      <c r="M57" s="1">
        <v>169</v>
      </c>
      <c r="N57" s="1">
        <v>184.5</v>
      </c>
      <c r="O57" s="1">
        <v>185.5</v>
      </c>
    </row>
    <row r="58" spans="1:31">
      <c r="A58" s="1">
        <v>80</v>
      </c>
      <c r="B58" s="1">
        <v>246.5</v>
      </c>
      <c r="C58" s="1">
        <v>165.5</v>
      </c>
      <c r="D58" s="1">
        <v>247.5</v>
      </c>
      <c r="E58" s="1">
        <v>208</v>
      </c>
      <c r="F58" s="1">
        <v>209</v>
      </c>
      <c r="G58" s="1">
        <v>201.5</v>
      </c>
      <c r="I58" s="1">
        <v>80</v>
      </c>
      <c r="J58" s="1">
        <v>261.5</v>
      </c>
      <c r="K58" s="1">
        <v>197</v>
      </c>
      <c r="L58" s="1">
        <v>266</v>
      </c>
      <c r="M58" s="1">
        <v>235.5</v>
      </c>
      <c r="N58" s="1">
        <v>228</v>
      </c>
      <c r="O58" s="1">
        <v>233</v>
      </c>
    </row>
    <row r="59" spans="1:31">
      <c r="A59" s="1">
        <v>160</v>
      </c>
      <c r="B59" s="1">
        <v>274.5</v>
      </c>
      <c r="C59" s="1">
        <v>208.5</v>
      </c>
      <c r="D59" s="1">
        <v>273</v>
      </c>
      <c r="E59" s="1">
        <v>249.5</v>
      </c>
      <c r="F59" s="1">
        <v>256</v>
      </c>
      <c r="G59" s="1">
        <v>254</v>
      </c>
      <c r="I59" s="1">
        <v>160</v>
      </c>
      <c r="J59" s="1">
        <v>271.5</v>
      </c>
      <c r="K59" s="1">
        <v>235.5</v>
      </c>
      <c r="L59" s="1">
        <v>272.5</v>
      </c>
      <c r="M59" s="1">
        <v>256.5</v>
      </c>
      <c r="N59" s="1">
        <v>264</v>
      </c>
      <c r="O59" s="1">
        <v>259.5</v>
      </c>
    </row>
    <row r="60" spans="1:31">
      <c r="A60" s="1">
        <v>320</v>
      </c>
      <c r="B60" s="1">
        <v>284</v>
      </c>
      <c r="C60" s="1">
        <v>251</v>
      </c>
      <c r="D60" s="1">
        <v>281.5</v>
      </c>
      <c r="E60" s="1">
        <v>271.5</v>
      </c>
      <c r="F60" s="1">
        <v>273.5</v>
      </c>
      <c r="G60" s="1">
        <v>265.5</v>
      </c>
      <c r="I60" s="1">
        <v>320</v>
      </c>
      <c r="J60" s="1">
        <v>275.5</v>
      </c>
      <c r="K60" s="1">
        <v>273.5</v>
      </c>
      <c r="L60" s="1">
        <v>276.5</v>
      </c>
      <c r="M60" s="1">
        <v>266.5</v>
      </c>
      <c r="N60" s="1">
        <v>273.5</v>
      </c>
      <c r="O60" s="1">
        <v>275</v>
      </c>
    </row>
    <row r="61" spans="1:31">
      <c r="A61" s="1" t="s">
        <v>154</v>
      </c>
      <c r="B61" s="1"/>
      <c r="C61" s="1"/>
      <c r="D61" s="1"/>
      <c r="E61" s="1"/>
      <c r="F61" s="1"/>
      <c r="G61" s="1"/>
      <c r="I61" s="1"/>
      <c r="J61" s="1"/>
      <c r="K61" s="1"/>
      <c r="L61" s="1"/>
      <c r="M61" s="1"/>
      <c r="N61" s="1"/>
      <c r="W61" s="1"/>
    </row>
    <row r="62" spans="1:31">
      <c r="A62" s="1"/>
      <c r="B62" s="1" t="s">
        <v>46</v>
      </c>
      <c r="C62" s="1" t="s">
        <v>105</v>
      </c>
      <c r="D62" s="1" t="s">
        <v>106</v>
      </c>
      <c r="E62" s="1" t="s">
        <v>48</v>
      </c>
      <c r="F62" s="1" t="s">
        <v>113</v>
      </c>
      <c r="G62" s="1" t="s">
        <v>114</v>
      </c>
      <c r="I62" s="1"/>
      <c r="J62" s="1" t="s">
        <v>46</v>
      </c>
      <c r="K62" s="1" t="s">
        <v>105</v>
      </c>
      <c r="L62" s="1" t="s">
        <v>106</v>
      </c>
      <c r="M62" s="1" t="s">
        <v>48</v>
      </c>
      <c r="N62" s="1" t="s">
        <v>113</v>
      </c>
      <c r="O62" s="1"/>
      <c r="W62" s="1"/>
      <c r="Y62" s="1"/>
      <c r="Z62" s="1"/>
      <c r="AA62" s="1"/>
      <c r="AB62" s="1"/>
      <c r="AC62" s="1"/>
      <c r="AD62" s="1"/>
      <c r="AE62" s="1"/>
    </row>
    <row r="63" spans="1:31">
      <c r="A63" s="1">
        <v>7.8125E-2</v>
      </c>
      <c r="B63" s="1">
        <v>59</v>
      </c>
      <c r="C63" s="1">
        <v>61.5</v>
      </c>
      <c r="D63" s="1">
        <v>70.5</v>
      </c>
      <c r="E63" s="1">
        <v>65</v>
      </c>
      <c r="F63" s="1">
        <v>68</v>
      </c>
      <c r="G63" s="1">
        <v>66</v>
      </c>
      <c r="I63" s="1">
        <v>7.8125E-2</v>
      </c>
      <c r="J63" s="1">
        <v>49</v>
      </c>
      <c r="K63" s="1">
        <v>61</v>
      </c>
      <c r="L63" s="1">
        <v>61</v>
      </c>
      <c r="M63" s="1">
        <v>70</v>
      </c>
      <c r="N63" s="1">
        <v>63.5</v>
      </c>
      <c r="O63" s="1"/>
      <c r="W63" s="1"/>
      <c r="Y63" s="1"/>
      <c r="Z63" s="1"/>
      <c r="AA63" s="1"/>
      <c r="AB63" s="1"/>
      <c r="AC63" s="1"/>
      <c r="AD63" s="1"/>
      <c r="AE63" s="1"/>
    </row>
    <row r="64" spans="1:31">
      <c r="A64" s="1">
        <v>0.15625</v>
      </c>
      <c r="B64" s="1">
        <v>64</v>
      </c>
      <c r="C64" s="1">
        <v>75</v>
      </c>
      <c r="D64" s="1">
        <v>73</v>
      </c>
      <c r="E64" s="1">
        <v>66</v>
      </c>
      <c r="F64" s="1">
        <v>67.5</v>
      </c>
      <c r="G64" s="1">
        <v>72.5</v>
      </c>
      <c r="I64" s="1">
        <v>0.15625</v>
      </c>
      <c r="J64" s="1">
        <v>55</v>
      </c>
      <c r="K64" s="1">
        <v>51</v>
      </c>
      <c r="L64" s="1">
        <v>35.5</v>
      </c>
      <c r="M64" s="1">
        <v>63.5</v>
      </c>
      <c r="N64" s="1">
        <v>54.5</v>
      </c>
      <c r="O64" s="1"/>
      <c r="W64" s="1"/>
      <c r="Y64" s="1"/>
      <c r="Z64" s="1"/>
      <c r="AA64" s="1"/>
      <c r="AB64" s="1"/>
      <c r="AC64" s="1"/>
      <c r="AD64" s="1"/>
      <c r="AE64" s="1"/>
    </row>
    <row r="65" spans="1:31">
      <c r="A65" s="1">
        <v>0.3125</v>
      </c>
      <c r="B65" s="1">
        <v>83.5</v>
      </c>
      <c r="C65" s="1">
        <v>87.5</v>
      </c>
      <c r="D65" s="1">
        <v>79</v>
      </c>
      <c r="E65" s="1">
        <v>103.5</v>
      </c>
      <c r="F65" s="1">
        <v>87</v>
      </c>
      <c r="G65" s="1">
        <v>65.5</v>
      </c>
      <c r="I65" s="1">
        <v>0.3125</v>
      </c>
      <c r="J65" s="1">
        <v>70</v>
      </c>
      <c r="K65" s="1">
        <v>51.5</v>
      </c>
      <c r="L65" s="1">
        <v>56.5</v>
      </c>
      <c r="M65" s="1">
        <v>66.5</v>
      </c>
      <c r="N65" s="1">
        <v>60.5</v>
      </c>
      <c r="O65" s="1"/>
      <c r="W65" s="1"/>
      <c r="Y65" s="1"/>
      <c r="Z65" s="1"/>
      <c r="AA65" s="1"/>
      <c r="AB65" s="1"/>
      <c r="AC65" s="1"/>
      <c r="AD65" s="1"/>
      <c r="AE65" s="1"/>
    </row>
    <row r="66" spans="1:31">
      <c r="A66" s="1">
        <v>0.625</v>
      </c>
      <c r="B66" s="1">
        <v>69.5</v>
      </c>
      <c r="C66" s="1">
        <v>84</v>
      </c>
      <c r="D66" s="1">
        <v>80</v>
      </c>
      <c r="E66" s="1">
        <v>90.5</v>
      </c>
      <c r="F66" s="1">
        <v>102</v>
      </c>
      <c r="G66" s="1">
        <v>85</v>
      </c>
      <c r="I66" s="1">
        <v>0.625</v>
      </c>
      <c r="J66" s="1">
        <v>66</v>
      </c>
      <c r="K66" s="1">
        <v>53</v>
      </c>
      <c r="L66" s="1">
        <v>59.5</v>
      </c>
      <c r="M66" s="1">
        <v>65</v>
      </c>
      <c r="N66" s="1">
        <v>74.5</v>
      </c>
      <c r="O66" s="1"/>
      <c r="W66" s="1"/>
      <c r="Y66" s="1"/>
      <c r="Z66" s="1"/>
      <c r="AA66" s="1"/>
      <c r="AB66" s="1"/>
      <c r="AC66" s="1"/>
      <c r="AD66" s="1"/>
      <c r="AE66" s="1"/>
    </row>
    <row r="67" spans="1:31">
      <c r="A67" s="1">
        <v>1.25</v>
      </c>
      <c r="B67" s="1">
        <v>86.5</v>
      </c>
      <c r="C67" s="1">
        <v>91</v>
      </c>
      <c r="D67" s="1">
        <v>78.5</v>
      </c>
      <c r="E67" s="1">
        <v>85</v>
      </c>
      <c r="F67" s="1">
        <v>71</v>
      </c>
      <c r="G67" s="1">
        <v>84</v>
      </c>
      <c r="I67" s="1">
        <v>1.25</v>
      </c>
      <c r="J67" s="1">
        <v>61.5</v>
      </c>
      <c r="K67" s="1">
        <v>58</v>
      </c>
      <c r="L67" s="1">
        <v>69</v>
      </c>
      <c r="M67" s="1">
        <v>78</v>
      </c>
      <c r="N67" s="1">
        <v>80.5</v>
      </c>
      <c r="O67" s="1"/>
      <c r="W67" s="1"/>
      <c r="Y67" s="1"/>
      <c r="Z67" s="1"/>
      <c r="AA67" s="1"/>
      <c r="AB67" s="1"/>
      <c r="AC67" s="1"/>
      <c r="AD67" s="1"/>
      <c r="AE67" s="1"/>
    </row>
    <row r="68" spans="1:31">
      <c r="A68" s="1">
        <v>2.5</v>
      </c>
      <c r="B68" s="1">
        <v>74.5</v>
      </c>
      <c r="C68" s="1">
        <v>63.5</v>
      </c>
      <c r="D68" s="1">
        <v>90.5</v>
      </c>
      <c r="E68" s="1">
        <v>79</v>
      </c>
      <c r="F68" s="1">
        <v>71.5</v>
      </c>
      <c r="G68" s="1">
        <v>66.5</v>
      </c>
      <c r="I68" s="1">
        <v>2.5</v>
      </c>
      <c r="J68" s="1">
        <v>86</v>
      </c>
      <c r="K68" s="1">
        <v>62</v>
      </c>
      <c r="L68" s="1">
        <v>90</v>
      </c>
      <c r="M68" s="1">
        <v>93.5</v>
      </c>
      <c r="N68" s="1">
        <v>88</v>
      </c>
      <c r="O68" s="1"/>
      <c r="W68" s="1"/>
      <c r="Y68" s="1"/>
      <c r="Z68" s="1"/>
      <c r="AA68" s="1"/>
      <c r="AB68" s="1"/>
      <c r="AC68" s="1"/>
      <c r="AD68" s="1"/>
      <c r="AE68" s="1"/>
    </row>
    <row r="69" spans="1:31">
      <c r="A69" s="1">
        <v>5</v>
      </c>
      <c r="B69" s="1">
        <v>114.5</v>
      </c>
      <c r="C69" s="1">
        <v>71.5</v>
      </c>
      <c r="D69" s="1">
        <v>123.5</v>
      </c>
      <c r="E69" s="1">
        <v>101.5</v>
      </c>
      <c r="F69" s="1">
        <v>109.5</v>
      </c>
      <c r="G69" s="1">
        <v>98.5</v>
      </c>
      <c r="I69" s="1">
        <v>5</v>
      </c>
      <c r="J69" s="1">
        <v>110.5</v>
      </c>
      <c r="K69" s="1">
        <v>90.5</v>
      </c>
      <c r="L69" s="1">
        <v>117</v>
      </c>
      <c r="M69" s="1">
        <v>97.5</v>
      </c>
      <c r="N69" s="1">
        <v>101</v>
      </c>
      <c r="O69" s="1"/>
      <c r="W69" s="1"/>
      <c r="Y69" s="1"/>
      <c r="Z69" s="1"/>
      <c r="AA69" s="1"/>
      <c r="AB69" s="1"/>
      <c r="AC69" s="1"/>
      <c r="AD69" s="1"/>
      <c r="AE69" s="1"/>
    </row>
    <row r="70" spans="1:31">
      <c r="A70" s="1">
        <v>10</v>
      </c>
      <c r="B70" s="1">
        <v>158.5</v>
      </c>
      <c r="C70" s="1">
        <v>97.5</v>
      </c>
      <c r="D70" s="1">
        <v>170</v>
      </c>
      <c r="E70" s="1">
        <v>139.5</v>
      </c>
      <c r="F70" s="1">
        <v>157.5</v>
      </c>
      <c r="G70" s="1">
        <v>145</v>
      </c>
      <c r="I70" s="1">
        <v>10</v>
      </c>
      <c r="J70" s="1">
        <v>133.5</v>
      </c>
      <c r="K70" s="1">
        <v>90.5</v>
      </c>
      <c r="L70" s="1">
        <v>143</v>
      </c>
      <c r="M70" s="1">
        <v>136.5</v>
      </c>
      <c r="N70" s="1">
        <v>128</v>
      </c>
      <c r="O70" s="1"/>
      <c r="W70" s="1"/>
      <c r="Y70" s="1"/>
      <c r="Z70" s="1"/>
      <c r="AA70" s="1"/>
      <c r="AB70" s="1"/>
      <c r="AC70" s="1"/>
      <c r="AD70" s="1"/>
      <c r="AE70" s="1"/>
    </row>
    <row r="71" spans="1:31">
      <c r="A71" s="1">
        <v>20</v>
      </c>
      <c r="B71" s="1">
        <v>231.5</v>
      </c>
      <c r="C71" s="1">
        <v>146.5</v>
      </c>
      <c r="D71" s="1">
        <v>234.5</v>
      </c>
      <c r="E71" s="1">
        <v>187.5</v>
      </c>
      <c r="F71" s="1">
        <v>205</v>
      </c>
      <c r="G71" s="1">
        <v>190</v>
      </c>
      <c r="I71" s="1">
        <v>20</v>
      </c>
      <c r="J71" s="1">
        <v>183</v>
      </c>
      <c r="K71" s="1">
        <v>117.5</v>
      </c>
      <c r="L71" s="1">
        <v>194.5</v>
      </c>
      <c r="M71" s="1">
        <v>168</v>
      </c>
      <c r="N71" s="1">
        <v>172</v>
      </c>
      <c r="O71" s="1"/>
      <c r="W71" s="1"/>
      <c r="Y71" s="1"/>
      <c r="Z71" s="1"/>
      <c r="AA71" s="1"/>
      <c r="AB71" s="1"/>
      <c r="AC71" s="1"/>
      <c r="AD71" s="1"/>
      <c r="AE71" s="1"/>
    </row>
    <row r="72" spans="1:31">
      <c r="A72" s="1">
        <v>40</v>
      </c>
      <c r="B72" s="1">
        <v>252</v>
      </c>
      <c r="C72" s="1">
        <v>188.5</v>
      </c>
      <c r="D72" s="1">
        <v>256.5</v>
      </c>
      <c r="E72" s="1">
        <v>218.5</v>
      </c>
      <c r="F72" s="1">
        <v>222</v>
      </c>
      <c r="G72" s="1">
        <v>217.5</v>
      </c>
      <c r="I72" s="1">
        <v>40</v>
      </c>
      <c r="J72" s="1">
        <v>234.5</v>
      </c>
      <c r="K72" s="1">
        <v>146</v>
      </c>
      <c r="L72" s="1">
        <v>230</v>
      </c>
      <c r="M72" s="1">
        <v>210</v>
      </c>
      <c r="N72" s="1">
        <v>217.5</v>
      </c>
      <c r="O72" s="1"/>
      <c r="W72" s="1"/>
      <c r="Y72" s="1"/>
      <c r="Z72" s="1"/>
      <c r="AA72" s="1"/>
      <c r="AB72" s="1"/>
      <c r="AC72" s="1"/>
      <c r="AD72" s="1"/>
      <c r="AE72" s="1"/>
    </row>
    <row r="73" spans="1:31">
      <c r="A73" s="1">
        <v>80</v>
      </c>
      <c r="B73" s="1">
        <v>257.5</v>
      </c>
      <c r="C73" s="1">
        <v>243.5</v>
      </c>
      <c r="D73" s="1">
        <v>268</v>
      </c>
      <c r="E73" s="1">
        <v>239</v>
      </c>
      <c r="F73" s="1">
        <v>246.5</v>
      </c>
      <c r="G73" s="1">
        <v>222.5</v>
      </c>
      <c r="I73" s="1">
        <v>80</v>
      </c>
      <c r="J73" s="1">
        <v>267</v>
      </c>
      <c r="K73" s="1">
        <v>216</v>
      </c>
      <c r="L73" s="1">
        <v>270.5</v>
      </c>
      <c r="M73" s="1">
        <v>249.5</v>
      </c>
      <c r="N73" s="1">
        <v>238</v>
      </c>
      <c r="O73" s="1"/>
      <c r="W73" s="1"/>
      <c r="Y73" s="1"/>
      <c r="Z73" s="1"/>
      <c r="AA73" s="1"/>
      <c r="AB73" s="1"/>
      <c r="AC73" s="1"/>
      <c r="AD73" s="1"/>
      <c r="AE73" s="1"/>
    </row>
    <row r="74" spans="1:31">
      <c r="A74" s="1">
        <v>160</v>
      </c>
      <c r="B74" s="1">
        <v>263</v>
      </c>
      <c r="C74" s="1">
        <v>281.5</v>
      </c>
      <c r="D74" s="1">
        <v>247.5</v>
      </c>
      <c r="E74" s="1">
        <v>239.5</v>
      </c>
      <c r="F74" s="1">
        <v>255</v>
      </c>
      <c r="G74" s="1">
        <v>239</v>
      </c>
      <c r="I74" s="1">
        <v>160</v>
      </c>
      <c r="J74" s="1">
        <v>275</v>
      </c>
      <c r="K74" s="1">
        <v>246</v>
      </c>
      <c r="L74" s="1">
        <v>270.5</v>
      </c>
      <c r="M74" s="1">
        <v>244</v>
      </c>
      <c r="N74" s="1">
        <v>248.5</v>
      </c>
      <c r="O74" s="1"/>
      <c r="W74" s="1"/>
      <c r="Y74" s="1"/>
      <c r="Z74" s="1"/>
      <c r="AA74" s="1"/>
      <c r="AB74" s="1"/>
      <c r="AC74" s="1"/>
      <c r="AD74" s="1"/>
      <c r="AE74" s="1"/>
    </row>
    <row r="75" spans="1:31">
      <c r="A75" s="1">
        <v>320</v>
      </c>
      <c r="B75" s="1">
        <v>289</v>
      </c>
      <c r="C75" s="1">
        <v>290.5</v>
      </c>
      <c r="D75" s="1">
        <v>267.5</v>
      </c>
      <c r="E75" s="1">
        <v>255</v>
      </c>
      <c r="F75" s="1">
        <v>257.5</v>
      </c>
      <c r="G75" s="1">
        <v>239.5</v>
      </c>
      <c r="I75" s="1">
        <v>320</v>
      </c>
      <c r="J75" s="1">
        <v>286.5</v>
      </c>
      <c r="K75" s="1">
        <v>275</v>
      </c>
      <c r="L75" s="1">
        <v>262.5</v>
      </c>
      <c r="M75" s="1">
        <v>251</v>
      </c>
      <c r="N75" s="1">
        <v>252.5</v>
      </c>
      <c r="O75" s="1"/>
      <c r="W75" s="1"/>
      <c r="Y75" s="1"/>
      <c r="Z75" s="1"/>
      <c r="AA75" s="1"/>
      <c r="AB75" s="1"/>
      <c r="AC75" s="1"/>
      <c r="AD75" s="1"/>
      <c r="AE75" s="1"/>
    </row>
    <row r="76" spans="1:31">
      <c r="A76" s="1" t="s">
        <v>163</v>
      </c>
      <c r="B76" s="1"/>
      <c r="C76" s="1"/>
      <c r="D76" s="1"/>
      <c r="E76" s="1"/>
      <c r="F76" s="1"/>
      <c r="G76" s="1"/>
      <c r="H76" s="1"/>
    </row>
    <row r="77" spans="1:31">
      <c r="A77" s="1"/>
      <c r="B77" s="1" t="s">
        <v>46</v>
      </c>
      <c r="C77" s="1" t="s">
        <v>105</v>
      </c>
      <c r="D77" s="1" t="s">
        <v>106</v>
      </c>
      <c r="E77" s="1" t="s">
        <v>48</v>
      </c>
      <c r="F77" s="1" t="s">
        <v>113</v>
      </c>
      <c r="G77" s="1" t="s">
        <v>114</v>
      </c>
      <c r="H77" s="1"/>
      <c r="I77" s="1"/>
      <c r="J77" s="1" t="s">
        <v>46</v>
      </c>
      <c r="K77" s="1" t="s">
        <v>105</v>
      </c>
      <c r="L77" s="1" t="s">
        <v>106</v>
      </c>
      <c r="M77" s="1" t="s">
        <v>48</v>
      </c>
      <c r="N77" s="1" t="s">
        <v>113</v>
      </c>
      <c r="O77" s="1" t="s">
        <v>114</v>
      </c>
    </row>
    <row r="78" spans="1:31">
      <c r="A78" s="1">
        <v>7.8125E-2</v>
      </c>
      <c r="B78" s="1">
        <v>56.5</v>
      </c>
      <c r="C78" s="1">
        <v>62</v>
      </c>
      <c r="D78" s="1">
        <v>56.5</v>
      </c>
      <c r="E78" s="1">
        <v>66</v>
      </c>
      <c r="F78" s="1">
        <v>65</v>
      </c>
      <c r="G78" s="1">
        <v>63.5</v>
      </c>
      <c r="H78" s="1"/>
      <c r="I78" s="1">
        <v>7.8125E-2</v>
      </c>
      <c r="J78" s="1">
        <v>63</v>
      </c>
      <c r="K78" s="1">
        <v>66.5</v>
      </c>
      <c r="L78" s="1">
        <v>70</v>
      </c>
      <c r="M78" s="1">
        <v>62</v>
      </c>
      <c r="N78" s="1">
        <v>69.5</v>
      </c>
      <c r="O78" s="1">
        <v>74</v>
      </c>
    </row>
    <row r="79" spans="1:31">
      <c r="A79" s="1">
        <v>0.15625</v>
      </c>
      <c r="B79" s="1">
        <v>65</v>
      </c>
      <c r="C79" s="1">
        <v>64</v>
      </c>
      <c r="D79" s="1">
        <v>65</v>
      </c>
      <c r="E79" s="1">
        <v>71.5</v>
      </c>
      <c r="F79" s="1">
        <v>78</v>
      </c>
      <c r="G79" s="1">
        <v>63</v>
      </c>
      <c r="H79" s="1"/>
      <c r="I79" s="1">
        <v>0.15625</v>
      </c>
      <c r="J79" s="1">
        <v>64</v>
      </c>
      <c r="K79" s="1">
        <v>65.5</v>
      </c>
      <c r="L79" s="1">
        <v>61.5</v>
      </c>
      <c r="M79" s="1">
        <v>71</v>
      </c>
      <c r="N79" s="1">
        <v>69.5</v>
      </c>
      <c r="O79" s="1">
        <v>74.5</v>
      </c>
    </row>
    <row r="80" spans="1:31">
      <c r="A80" s="1">
        <v>0.3125</v>
      </c>
      <c r="B80" s="1">
        <v>69</v>
      </c>
      <c r="C80" s="1">
        <v>69.5</v>
      </c>
      <c r="D80" s="1">
        <v>64</v>
      </c>
      <c r="E80" s="1">
        <v>71.5</v>
      </c>
      <c r="F80" s="1">
        <v>74</v>
      </c>
      <c r="G80" s="1">
        <v>71.5</v>
      </c>
      <c r="H80" s="1"/>
      <c r="I80" s="1">
        <v>0.3125</v>
      </c>
      <c r="J80" s="1">
        <v>59.5</v>
      </c>
      <c r="K80" s="1">
        <v>71</v>
      </c>
      <c r="L80" s="1">
        <v>71</v>
      </c>
      <c r="M80" s="1">
        <v>69.5</v>
      </c>
      <c r="N80" s="1">
        <v>78</v>
      </c>
      <c r="O80" s="1">
        <v>87</v>
      </c>
    </row>
    <row r="81" spans="1:15">
      <c r="A81" s="1">
        <v>0.625</v>
      </c>
      <c r="B81" s="1">
        <v>62</v>
      </c>
      <c r="C81" s="1">
        <v>68</v>
      </c>
      <c r="D81" s="1">
        <v>65.5</v>
      </c>
      <c r="E81" s="1">
        <v>58</v>
      </c>
      <c r="F81" s="1">
        <v>56</v>
      </c>
      <c r="G81" s="1">
        <v>71.5</v>
      </c>
      <c r="H81" s="1"/>
      <c r="I81" s="1">
        <v>0.625</v>
      </c>
      <c r="J81" s="1">
        <v>48</v>
      </c>
      <c r="K81" s="1">
        <v>61</v>
      </c>
      <c r="L81" s="1">
        <v>73.5</v>
      </c>
      <c r="M81" s="1">
        <v>67</v>
      </c>
      <c r="N81" s="1">
        <v>62</v>
      </c>
      <c r="O81" s="1">
        <v>57</v>
      </c>
    </row>
    <row r="82" spans="1:15">
      <c r="A82" s="1">
        <v>1.25</v>
      </c>
      <c r="B82" s="1">
        <v>62</v>
      </c>
      <c r="C82" s="1">
        <v>62</v>
      </c>
      <c r="D82" s="1">
        <v>60</v>
      </c>
      <c r="E82" s="1">
        <v>59</v>
      </c>
      <c r="F82" s="1">
        <v>66</v>
      </c>
      <c r="G82" s="1">
        <v>62</v>
      </c>
      <c r="H82" s="1"/>
      <c r="I82" s="1">
        <v>1.25</v>
      </c>
      <c r="J82" s="1">
        <v>58</v>
      </c>
      <c r="K82" s="1">
        <v>57.5</v>
      </c>
      <c r="L82" s="1">
        <v>77.5</v>
      </c>
      <c r="M82" s="1">
        <v>69.5</v>
      </c>
      <c r="N82" s="1">
        <v>71.5</v>
      </c>
      <c r="O82" s="1">
        <v>74</v>
      </c>
    </row>
    <row r="83" spans="1:15">
      <c r="A83" s="1">
        <v>2.5</v>
      </c>
      <c r="B83" s="1">
        <v>67</v>
      </c>
      <c r="C83" s="1">
        <v>62</v>
      </c>
      <c r="D83" s="1">
        <v>74</v>
      </c>
      <c r="E83" s="1">
        <v>68</v>
      </c>
      <c r="F83" s="1">
        <v>68</v>
      </c>
      <c r="G83" s="1">
        <v>70</v>
      </c>
      <c r="H83" s="1"/>
      <c r="I83" s="1">
        <v>2.5</v>
      </c>
      <c r="J83" s="1">
        <v>85</v>
      </c>
      <c r="K83" s="1">
        <v>69</v>
      </c>
      <c r="L83" s="1">
        <v>96.5</v>
      </c>
      <c r="M83" s="1">
        <v>80</v>
      </c>
      <c r="N83" s="1">
        <v>89.5</v>
      </c>
      <c r="O83" s="1">
        <v>89</v>
      </c>
    </row>
    <row r="84" spans="1:15">
      <c r="A84" s="1">
        <v>5</v>
      </c>
      <c r="B84" s="1">
        <v>88.5</v>
      </c>
      <c r="C84" s="1">
        <v>68</v>
      </c>
      <c r="D84" s="1">
        <v>82.5</v>
      </c>
      <c r="E84" s="1">
        <v>78.5</v>
      </c>
      <c r="F84" s="1">
        <v>79</v>
      </c>
      <c r="G84" s="1">
        <v>86.5</v>
      </c>
      <c r="H84" s="1"/>
      <c r="I84" s="1">
        <v>5</v>
      </c>
      <c r="J84" s="1">
        <v>107</v>
      </c>
      <c r="K84" s="1">
        <v>84.5</v>
      </c>
      <c r="L84" s="1">
        <v>127</v>
      </c>
      <c r="M84" s="1">
        <v>100.5</v>
      </c>
      <c r="N84" s="1">
        <v>104</v>
      </c>
      <c r="O84" s="1">
        <v>106</v>
      </c>
    </row>
    <row r="85" spans="1:15">
      <c r="A85" s="1">
        <v>10</v>
      </c>
      <c r="B85" s="1">
        <v>113.5</v>
      </c>
      <c r="C85" s="1">
        <v>89</v>
      </c>
      <c r="D85" s="1">
        <v>139</v>
      </c>
      <c r="E85" s="1">
        <v>109.5</v>
      </c>
      <c r="F85" s="1">
        <v>116.5</v>
      </c>
      <c r="G85" s="1">
        <v>124.5</v>
      </c>
      <c r="H85" s="1"/>
      <c r="I85" s="1">
        <v>10</v>
      </c>
      <c r="J85" s="1">
        <v>152.5</v>
      </c>
      <c r="K85" s="1">
        <v>107</v>
      </c>
      <c r="L85" s="1">
        <v>175</v>
      </c>
      <c r="M85" s="1">
        <v>148.5</v>
      </c>
      <c r="N85" s="1">
        <v>153</v>
      </c>
      <c r="O85" s="1">
        <v>153</v>
      </c>
    </row>
    <row r="86" spans="1:15">
      <c r="A86" s="1">
        <v>20</v>
      </c>
      <c r="B86" s="1">
        <v>182</v>
      </c>
      <c r="C86" s="1">
        <v>122.5</v>
      </c>
      <c r="D86" s="1">
        <v>190</v>
      </c>
      <c r="E86" s="1">
        <v>158</v>
      </c>
      <c r="F86" s="1">
        <v>163.5</v>
      </c>
      <c r="G86" s="1">
        <v>159.5</v>
      </c>
      <c r="H86" s="1"/>
      <c r="I86" s="1">
        <v>20</v>
      </c>
      <c r="J86" s="1">
        <v>216.5</v>
      </c>
      <c r="K86" s="1">
        <v>147</v>
      </c>
      <c r="L86" s="1">
        <v>229.5</v>
      </c>
      <c r="M86" s="1">
        <v>193</v>
      </c>
      <c r="N86" s="1">
        <v>192.5</v>
      </c>
      <c r="O86" s="1">
        <v>197</v>
      </c>
    </row>
    <row r="87" spans="1:15">
      <c r="A87" s="1">
        <v>40</v>
      </c>
      <c r="B87" s="1">
        <v>239</v>
      </c>
      <c r="C87" s="1">
        <v>175.5</v>
      </c>
      <c r="D87" s="1">
        <v>245.5</v>
      </c>
      <c r="E87" s="1">
        <v>203</v>
      </c>
      <c r="F87" s="1">
        <v>216.5</v>
      </c>
      <c r="G87" s="1">
        <v>200</v>
      </c>
      <c r="H87" s="1"/>
      <c r="I87" s="1">
        <v>40</v>
      </c>
      <c r="J87" s="1">
        <v>257</v>
      </c>
      <c r="K87" s="1">
        <v>199</v>
      </c>
      <c r="L87" s="1">
        <v>252</v>
      </c>
      <c r="M87" s="1">
        <v>233.5</v>
      </c>
      <c r="N87" s="1">
        <v>232</v>
      </c>
      <c r="O87" s="1">
        <v>216</v>
      </c>
    </row>
    <row r="88" spans="1:15">
      <c r="A88" s="1">
        <v>80</v>
      </c>
      <c r="B88" s="1">
        <v>283</v>
      </c>
      <c r="C88" s="1">
        <v>226.5</v>
      </c>
      <c r="D88" s="1">
        <v>265</v>
      </c>
      <c r="E88" s="1">
        <v>250.5</v>
      </c>
      <c r="F88" s="1">
        <v>253.5</v>
      </c>
      <c r="G88" s="1">
        <v>242.5</v>
      </c>
      <c r="H88" s="1"/>
      <c r="I88" s="1">
        <v>80</v>
      </c>
      <c r="J88" s="1">
        <v>289</v>
      </c>
      <c r="K88" s="1">
        <v>261.5</v>
      </c>
      <c r="L88" s="1">
        <v>263</v>
      </c>
      <c r="M88" s="1">
        <v>254.5</v>
      </c>
      <c r="N88" s="1">
        <v>252</v>
      </c>
      <c r="O88" s="1">
        <v>237.5</v>
      </c>
    </row>
    <row r="89" spans="1:15">
      <c r="A89" s="1">
        <v>160</v>
      </c>
      <c r="B89" s="1">
        <v>290.5</v>
      </c>
      <c r="C89" s="1">
        <v>266.5</v>
      </c>
      <c r="D89" s="1">
        <v>262</v>
      </c>
      <c r="E89" s="1">
        <v>277.5</v>
      </c>
      <c r="F89" s="1">
        <v>268</v>
      </c>
      <c r="G89" s="1">
        <v>252.5</v>
      </c>
      <c r="H89" s="1"/>
      <c r="I89" s="1">
        <v>160</v>
      </c>
      <c r="J89" s="1">
        <v>299</v>
      </c>
      <c r="K89" s="1">
        <v>299.5</v>
      </c>
      <c r="L89" s="1">
        <v>268.5</v>
      </c>
      <c r="M89" s="1">
        <v>277</v>
      </c>
      <c r="N89" s="1">
        <v>272.5</v>
      </c>
      <c r="O89" s="1">
        <v>249</v>
      </c>
    </row>
    <row r="90" spans="1:15">
      <c r="A90" s="1">
        <v>320</v>
      </c>
      <c r="B90" s="1">
        <v>301</v>
      </c>
      <c r="C90" s="1">
        <v>294.5</v>
      </c>
      <c r="D90" s="1">
        <v>281.5</v>
      </c>
      <c r="E90" s="1">
        <v>273</v>
      </c>
      <c r="F90" s="1">
        <v>280</v>
      </c>
      <c r="G90" s="1">
        <v>248</v>
      </c>
      <c r="H90" s="1"/>
      <c r="I90" s="1">
        <v>320</v>
      </c>
      <c r="J90" s="1">
        <v>308.5</v>
      </c>
      <c r="K90" s="1">
        <v>308</v>
      </c>
      <c r="L90" s="1">
        <v>286.5</v>
      </c>
      <c r="M90" s="1">
        <v>280</v>
      </c>
      <c r="N90" s="1">
        <v>271</v>
      </c>
      <c r="O90" s="1">
        <v>257</v>
      </c>
    </row>
    <row r="91" spans="1:15">
      <c r="A91" s="1" t="s">
        <v>158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5">
      <c r="A92" s="1"/>
      <c r="B92" s="1" t="s">
        <v>46</v>
      </c>
      <c r="C92" s="1" t="s">
        <v>105</v>
      </c>
      <c r="D92" s="1" t="s">
        <v>106</v>
      </c>
      <c r="E92" s="1" t="s">
        <v>48</v>
      </c>
      <c r="F92" s="1" t="s">
        <v>113</v>
      </c>
      <c r="G92" s="1" t="s">
        <v>114</v>
      </c>
      <c r="I92" s="1"/>
      <c r="J92" s="1" t="s">
        <v>46</v>
      </c>
      <c r="K92" s="1" t="s">
        <v>105</v>
      </c>
      <c r="L92" s="1" t="s">
        <v>106</v>
      </c>
      <c r="M92" s="1" t="s">
        <v>48</v>
      </c>
      <c r="N92" s="1" t="s">
        <v>113</v>
      </c>
      <c r="O92" s="1" t="s">
        <v>114</v>
      </c>
    </row>
    <row r="93" spans="1:15">
      <c r="A93" s="1">
        <v>7.8125E-2</v>
      </c>
      <c r="B93" s="1">
        <v>69.5</v>
      </c>
      <c r="C93" s="1">
        <v>72.5</v>
      </c>
      <c r="D93" s="1">
        <v>54.5</v>
      </c>
      <c r="E93" s="1">
        <v>71</v>
      </c>
      <c r="F93" s="1">
        <v>66</v>
      </c>
      <c r="G93" s="1">
        <v>69.5</v>
      </c>
      <c r="I93" s="1">
        <v>7.8125E-2</v>
      </c>
      <c r="J93" s="1">
        <v>80</v>
      </c>
      <c r="K93" s="1">
        <v>83</v>
      </c>
      <c r="L93" s="1">
        <v>82.5</v>
      </c>
      <c r="M93" s="1">
        <v>85</v>
      </c>
      <c r="N93" s="1">
        <v>76.5</v>
      </c>
      <c r="O93" s="1">
        <v>75</v>
      </c>
    </row>
    <row r="94" spans="1:15">
      <c r="A94" s="1">
        <v>0.15625</v>
      </c>
      <c r="B94" s="1">
        <v>71.5</v>
      </c>
      <c r="C94" s="1">
        <v>75</v>
      </c>
      <c r="D94" s="1">
        <v>65.5</v>
      </c>
      <c r="E94" s="1">
        <v>56.5</v>
      </c>
      <c r="F94" s="1">
        <v>56</v>
      </c>
      <c r="G94" s="1">
        <v>72</v>
      </c>
      <c r="I94" s="1">
        <v>0.15625</v>
      </c>
      <c r="J94" s="1">
        <v>74</v>
      </c>
      <c r="K94" s="1">
        <v>72.5</v>
      </c>
      <c r="L94" s="1">
        <v>73.5</v>
      </c>
      <c r="M94" s="1">
        <v>80</v>
      </c>
      <c r="N94" s="1">
        <v>79.5</v>
      </c>
      <c r="O94" s="1">
        <v>74.5</v>
      </c>
    </row>
    <row r="95" spans="1:15">
      <c r="A95" s="1">
        <v>0.3125</v>
      </c>
      <c r="B95" s="1">
        <v>68</v>
      </c>
      <c r="C95" s="1">
        <v>73.5</v>
      </c>
      <c r="D95" s="1">
        <v>64</v>
      </c>
      <c r="E95" s="1">
        <v>82</v>
      </c>
      <c r="F95" s="1">
        <v>75</v>
      </c>
      <c r="G95" s="1">
        <v>64</v>
      </c>
      <c r="I95" s="1">
        <v>0.3125</v>
      </c>
      <c r="J95" s="1">
        <v>81.5</v>
      </c>
      <c r="K95" s="1">
        <v>69</v>
      </c>
      <c r="L95" s="1">
        <v>81</v>
      </c>
      <c r="M95" s="1">
        <v>97.5</v>
      </c>
      <c r="N95" s="1">
        <v>74.5</v>
      </c>
      <c r="O95" s="1">
        <v>72</v>
      </c>
    </row>
    <row r="96" spans="1:15">
      <c r="A96" s="1">
        <v>0.625</v>
      </c>
      <c r="B96" s="1">
        <v>77</v>
      </c>
      <c r="C96" s="1">
        <v>69</v>
      </c>
      <c r="D96" s="1">
        <v>61</v>
      </c>
      <c r="E96" s="1">
        <v>75.5</v>
      </c>
      <c r="F96" s="1">
        <v>68</v>
      </c>
      <c r="G96" s="1">
        <v>68</v>
      </c>
      <c r="I96" s="1">
        <v>0.625</v>
      </c>
      <c r="J96" s="1">
        <v>77</v>
      </c>
      <c r="K96" s="1">
        <v>78</v>
      </c>
      <c r="L96" s="1">
        <v>73</v>
      </c>
      <c r="M96" s="1">
        <v>95</v>
      </c>
      <c r="N96" s="1">
        <v>85</v>
      </c>
      <c r="O96" s="1">
        <v>78</v>
      </c>
    </row>
    <row r="97" spans="1:15">
      <c r="A97" s="1">
        <v>1.25</v>
      </c>
      <c r="B97" s="1">
        <v>85</v>
      </c>
      <c r="C97" s="1">
        <v>82</v>
      </c>
      <c r="D97" s="1">
        <v>70.5</v>
      </c>
      <c r="E97" s="1">
        <v>65.5</v>
      </c>
      <c r="F97" s="1">
        <v>70</v>
      </c>
      <c r="G97" s="1">
        <v>68.5</v>
      </c>
      <c r="I97" s="1">
        <v>1.25</v>
      </c>
      <c r="J97" s="1">
        <v>108</v>
      </c>
      <c r="K97" s="1">
        <v>73.5</v>
      </c>
      <c r="L97" s="1">
        <v>85</v>
      </c>
      <c r="M97" s="1">
        <v>83.5</v>
      </c>
      <c r="N97" s="1">
        <v>82</v>
      </c>
      <c r="O97" s="1">
        <v>73</v>
      </c>
    </row>
    <row r="98" spans="1:15">
      <c r="A98" s="1">
        <v>2.5</v>
      </c>
      <c r="B98" s="1">
        <v>89.5</v>
      </c>
      <c r="C98" s="1">
        <v>76.5</v>
      </c>
      <c r="D98" s="1">
        <v>68.5</v>
      </c>
      <c r="E98" s="1">
        <v>72.5</v>
      </c>
      <c r="F98" s="1">
        <v>77.5</v>
      </c>
      <c r="G98" s="1">
        <v>73.5</v>
      </c>
      <c r="I98" s="1">
        <v>2.5</v>
      </c>
      <c r="J98" s="1">
        <v>119</v>
      </c>
      <c r="K98" s="1">
        <v>87.5</v>
      </c>
      <c r="L98" s="1">
        <v>101</v>
      </c>
      <c r="M98" s="1">
        <v>86.5</v>
      </c>
      <c r="N98" s="1">
        <v>94.5</v>
      </c>
      <c r="O98" s="1">
        <v>85.5</v>
      </c>
    </row>
    <row r="99" spans="1:15">
      <c r="A99" s="1">
        <v>5</v>
      </c>
      <c r="B99" s="1">
        <v>92.5</v>
      </c>
      <c r="C99" s="1">
        <v>82.5</v>
      </c>
      <c r="D99" s="1">
        <v>98.5</v>
      </c>
      <c r="E99" s="1">
        <v>96</v>
      </c>
      <c r="F99" s="1">
        <v>78.5</v>
      </c>
      <c r="G99" s="1">
        <v>76</v>
      </c>
      <c r="I99" s="1">
        <v>5</v>
      </c>
      <c r="J99" s="1">
        <v>128</v>
      </c>
      <c r="K99" s="1">
        <v>92.5</v>
      </c>
      <c r="L99" s="1">
        <v>125</v>
      </c>
      <c r="M99" s="1">
        <v>100.5</v>
      </c>
      <c r="N99" s="1">
        <v>104.5</v>
      </c>
      <c r="O99" s="1">
        <v>99</v>
      </c>
    </row>
    <row r="100" spans="1:15">
      <c r="A100" s="1">
        <v>10</v>
      </c>
      <c r="B100" s="1">
        <v>111</v>
      </c>
      <c r="C100" s="1">
        <v>89</v>
      </c>
      <c r="D100" s="1">
        <v>112</v>
      </c>
      <c r="E100" s="1">
        <v>102</v>
      </c>
      <c r="F100" s="1">
        <v>101.5</v>
      </c>
      <c r="G100" s="1">
        <v>95.5</v>
      </c>
      <c r="I100" s="1">
        <v>10</v>
      </c>
      <c r="J100" s="1">
        <v>139.5</v>
      </c>
      <c r="K100" s="1">
        <v>112</v>
      </c>
      <c r="L100" s="1">
        <v>158</v>
      </c>
      <c r="M100" s="1">
        <v>124</v>
      </c>
      <c r="N100" s="1">
        <v>124.5</v>
      </c>
      <c r="O100" s="1">
        <v>119</v>
      </c>
    </row>
    <row r="101" spans="1:15">
      <c r="A101" s="1">
        <v>20</v>
      </c>
      <c r="B101" s="1">
        <v>144.5</v>
      </c>
      <c r="C101" s="1">
        <v>108.5</v>
      </c>
      <c r="D101" s="1">
        <v>160.5</v>
      </c>
      <c r="E101" s="1">
        <v>137</v>
      </c>
      <c r="F101" s="1">
        <v>129.5</v>
      </c>
      <c r="G101" s="1">
        <v>127</v>
      </c>
      <c r="I101" s="1">
        <v>20</v>
      </c>
      <c r="J101" s="1">
        <v>191.5</v>
      </c>
      <c r="K101" s="1">
        <v>130.5</v>
      </c>
      <c r="L101" s="1">
        <v>212.5</v>
      </c>
      <c r="M101" s="1">
        <v>161</v>
      </c>
      <c r="N101" s="1">
        <v>158</v>
      </c>
      <c r="O101" s="1">
        <v>163</v>
      </c>
    </row>
    <row r="102" spans="1:15">
      <c r="A102" s="1">
        <v>40</v>
      </c>
      <c r="B102" s="1">
        <v>198</v>
      </c>
      <c r="C102" s="1">
        <v>130</v>
      </c>
      <c r="D102" s="1">
        <v>205</v>
      </c>
      <c r="E102" s="1">
        <v>179.5</v>
      </c>
      <c r="F102" s="1">
        <v>178.5</v>
      </c>
      <c r="G102" s="1">
        <v>178</v>
      </c>
      <c r="I102" s="1">
        <v>40</v>
      </c>
      <c r="J102" s="1">
        <v>224</v>
      </c>
      <c r="K102" s="1">
        <v>164</v>
      </c>
      <c r="L102" s="1">
        <v>245</v>
      </c>
      <c r="M102" s="1">
        <v>193.5</v>
      </c>
      <c r="N102" s="1">
        <v>215</v>
      </c>
      <c r="O102" s="1">
        <v>214</v>
      </c>
    </row>
    <row r="103" spans="1:15">
      <c r="A103" s="1">
        <v>80</v>
      </c>
      <c r="B103" s="1">
        <v>240.5</v>
      </c>
      <c r="C103" s="1">
        <v>173</v>
      </c>
      <c r="D103" s="1">
        <v>260.5</v>
      </c>
      <c r="E103" s="1">
        <v>216</v>
      </c>
      <c r="F103" s="1">
        <v>223.5</v>
      </c>
      <c r="G103" s="1">
        <v>223.5</v>
      </c>
      <c r="I103" s="1">
        <v>80</v>
      </c>
      <c r="J103" s="1">
        <v>255</v>
      </c>
      <c r="K103" s="1">
        <v>208</v>
      </c>
      <c r="L103" s="1">
        <v>266.5</v>
      </c>
      <c r="M103" s="1">
        <v>237</v>
      </c>
      <c r="N103" s="1">
        <v>251.5</v>
      </c>
      <c r="O103" s="1">
        <v>247.5</v>
      </c>
    </row>
    <row r="104" spans="1:15">
      <c r="A104" s="1">
        <v>160</v>
      </c>
      <c r="B104" s="1">
        <v>280</v>
      </c>
      <c r="C104" s="1">
        <v>246</v>
      </c>
      <c r="D104" s="1">
        <v>275.5</v>
      </c>
      <c r="E104" s="1">
        <v>243.5</v>
      </c>
      <c r="F104" s="1">
        <v>264.5</v>
      </c>
      <c r="G104" s="1">
        <v>265</v>
      </c>
      <c r="I104" s="1">
        <v>160</v>
      </c>
      <c r="J104" s="1">
        <v>280.5</v>
      </c>
      <c r="K104" s="1">
        <v>271</v>
      </c>
      <c r="L104" s="1">
        <v>282.5</v>
      </c>
      <c r="M104" s="1">
        <v>247</v>
      </c>
      <c r="N104" s="1">
        <v>261</v>
      </c>
      <c r="O104" s="1">
        <v>272</v>
      </c>
    </row>
    <row r="105" spans="1:15">
      <c r="A105" s="1">
        <v>320</v>
      </c>
      <c r="B105" s="1">
        <v>292.5</v>
      </c>
      <c r="C105" s="1">
        <v>265</v>
      </c>
      <c r="D105" s="1">
        <v>294</v>
      </c>
      <c r="E105" s="1">
        <v>263.5</v>
      </c>
      <c r="F105" s="1">
        <v>282.5</v>
      </c>
      <c r="G105" s="1">
        <v>277.5</v>
      </c>
      <c r="I105" s="1">
        <v>320</v>
      </c>
      <c r="J105" s="1">
        <v>280.5</v>
      </c>
      <c r="K105" s="1">
        <v>281.5</v>
      </c>
      <c r="L105" s="1">
        <v>283.5</v>
      </c>
      <c r="M105" s="1">
        <v>252</v>
      </c>
      <c r="N105" s="1">
        <v>274.5</v>
      </c>
      <c r="O105" s="1">
        <v>270.5</v>
      </c>
    </row>
    <row r="106" spans="1:15">
      <c r="A106" s="1" t="s">
        <v>160</v>
      </c>
      <c r="B106" s="1"/>
      <c r="C106" s="1"/>
      <c r="D106" s="1"/>
      <c r="E106" s="1"/>
      <c r="F106" s="1"/>
      <c r="G106" s="1"/>
    </row>
    <row r="107" spans="1:15">
      <c r="A107" s="1"/>
      <c r="B107" s="1" t="s">
        <v>46</v>
      </c>
      <c r="C107" s="1" t="s">
        <v>105</v>
      </c>
      <c r="D107" s="1" t="s">
        <v>106</v>
      </c>
      <c r="E107" s="1" t="s">
        <v>48</v>
      </c>
      <c r="F107" s="1" t="s">
        <v>113</v>
      </c>
      <c r="G107" s="1" t="s">
        <v>114</v>
      </c>
      <c r="I107" s="1"/>
      <c r="J107" s="1" t="s">
        <v>46</v>
      </c>
      <c r="K107" s="1" t="s">
        <v>105</v>
      </c>
      <c r="L107" s="1" t="s">
        <v>106</v>
      </c>
      <c r="M107" s="1" t="s">
        <v>48</v>
      </c>
      <c r="N107" s="1" t="s">
        <v>113</v>
      </c>
      <c r="O107" s="1" t="s">
        <v>114</v>
      </c>
    </row>
    <row r="108" spans="1:15">
      <c r="A108" s="1">
        <v>7.8125E-2</v>
      </c>
      <c r="B108" s="1">
        <v>83</v>
      </c>
      <c r="C108" s="1">
        <v>79.5</v>
      </c>
      <c r="D108" s="1">
        <v>86.5</v>
      </c>
      <c r="E108" s="1">
        <v>70</v>
      </c>
      <c r="F108" s="1">
        <v>80</v>
      </c>
      <c r="G108" s="1">
        <v>69.5</v>
      </c>
      <c r="I108" s="1">
        <v>7.8125E-2</v>
      </c>
      <c r="J108" s="1">
        <v>95.5</v>
      </c>
      <c r="K108" s="1">
        <v>90</v>
      </c>
      <c r="L108" s="1">
        <v>87.5</v>
      </c>
      <c r="M108" s="1">
        <v>88.5</v>
      </c>
      <c r="N108" s="1">
        <v>102.5</v>
      </c>
      <c r="O108" s="1">
        <v>94.5</v>
      </c>
    </row>
    <row r="109" spans="1:15">
      <c r="A109" s="1">
        <v>0.15625</v>
      </c>
      <c r="B109" s="1">
        <v>90</v>
      </c>
      <c r="C109" s="1">
        <v>71.5</v>
      </c>
      <c r="D109" s="1">
        <v>72</v>
      </c>
      <c r="E109" s="1">
        <v>83.5</v>
      </c>
      <c r="F109" s="1">
        <v>74.5</v>
      </c>
      <c r="G109" s="1">
        <v>86.5</v>
      </c>
      <c r="I109" s="1">
        <v>0.15625</v>
      </c>
      <c r="J109" s="1">
        <v>98</v>
      </c>
      <c r="K109" s="1">
        <v>93.5</v>
      </c>
      <c r="L109" s="1">
        <v>105.5</v>
      </c>
      <c r="M109" s="1">
        <v>90.5</v>
      </c>
      <c r="N109" s="1">
        <v>92</v>
      </c>
      <c r="O109" s="1">
        <v>83</v>
      </c>
    </row>
    <row r="110" spans="1:15">
      <c r="A110" s="1">
        <v>0.3125</v>
      </c>
      <c r="B110" s="1">
        <v>80.5</v>
      </c>
      <c r="C110" s="1">
        <v>92.5</v>
      </c>
      <c r="D110" s="1">
        <v>93</v>
      </c>
      <c r="E110" s="1">
        <v>100</v>
      </c>
      <c r="F110" s="1">
        <v>94.5</v>
      </c>
      <c r="G110" s="1">
        <v>72</v>
      </c>
      <c r="I110" s="1">
        <v>0.3125</v>
      </c>
      <c r="J110" s="1">
        <v>104.5</v>
      </c>
      <c r="K110" s="1">
        <v>97</v>
      </c>
      <c r="L110" s="1">
        <v>95</v>
      </c>
      <c r="M110" s="1">
        <v>102.5</v>
      </c>
      <c r="N110" s="1">
        <v>106.5</v>
      </c>
      <c r="O110" s="1">
        <v>92.5</v>
      </c>
    </row>
    <row r="111" spans="1:15">
      <c r="A111" s="1">
        <v>0.625</v>
      </c>
      <c r="B111" s="1">
        <v>74.5</v>
      </c>
      <c r="C111" s="1">
        <v>80.5</v>
      </c>
      <c r="D111" s="1">
        <v>85</v>
      </c>
      <c r="E111" s="1">
        <v>60</v>
      </c>
      <c r="F111" s="1">
        <v>73.5</v>
      </c>
      <c r="G111" s="1">
        <v>60.5</v>
      </c>
      <c r="I111" s="1">
        <v>0.625</v>
      </c>
      <c r="J111" s="1">
        <v>94</v>
      </c>
      <c r="K111" s="1">
        <v>74.5</v>
      </c>
      <c r="L111" s="1">
        <v>82.5</v>
      </c>
      <c r="M111" s="1">
        <v>76</v>
      </c>
      <c r="N111" s="1">
        <v>82.5</v>
      </c>
      <c r="O111" s="1">
        <v>84.5</v>
      </c>
    </row>
    <row r="112" spans="1:15">
      <c r="A112" s="1">
        <v>1.25</v>
      </c>
      <c r="B112" s="1">
        <v>98</v>
      </c>
      <c r="C112" s="1">
        <v>79.5</v>
      </c>
      <c r="D112" s="1">
        <v>80</v>
      </c>
      <c r="E112" s="1">
        <v>78.5</v>
      </c>
      <c r="F112" s="1">
        <v>80</v>
      </c>
      <c r="G112" s="1">
        <v>72.5</v>
      </c>
      <c r="I112" s="1">
        <v>1.25</v>
      </c>
      <c r="J112" s="1">
        <v>101</v>
      </c>
      <c r="K112" s="1">
        <v>82</v>
      </c>
      <c r="L112" s="1">
        <v>102</v>
      </c>
      <c r="M112" s="1">
        <v>85.5</v>
      </c>
      <c r="N112" s="1">
        <v>90.5</v>
      </c>
      <c r="O112" s="1">
        <v>96</v>
      </c>
    </row>
    <row r="113" spans="1:15">
      <c r="A113" s="1">
        <v>2.5</v>
      </c>
      <c r="B113" s="1">
        <v>106.5</v>
      </c>
      <c r="C113" s="1">
        <v>71</v>
      </c>
      <c r="D113" s="1">
        <v>84.5</v>
      </c>
      <c r="E113" s="1">
        <v>93</v>
      </c>
      <c r="F113" s="1">
        <v>97</v>
      </c>
      <c r="G113" s="1">
        <v>94.5</v>
      </c>
      <c r="I113" s="1">
        <v>2.5</v>
      </c>
      <c r="J113" s="1">
        <v>124</v>
      </c>
      <c r="K113" s="1">
        <v>87.5</v>
      </c>
      <c r="L113" s="1">
        <v>123</v>
      </c>
      <c r="M113" s="1">
        <v>124</v>
      </c>
      <c r="N113" s="1">
        <v>114.5</v>
      </c>
      <c r="O113" s="1">
        <v>100</v>
      </c>
    </row>
    <row r="114" spans="1:15">
      <c r="A114" s="1">
        <v>5</v>
      </c>
      <c r="B114" s="1">
        <v>108.5</v>
      </c>
      <c r="C114" s="1">
        <v>88</v>
      </c>
      <c r="D114" s="1">
        <v>115</v>
      </c>
      <c r="E114" s="1">
        <v>110</v>
      </c>
      <c r="F114" s="1">
        <v>99</v>
      </c>
      <c r="G114" s="1">
        <v>109</v>
      </c>
      <c r="I114" s="1">
        <v>5</v>
      </c>
      <c r="J114" s="1">
        <v>138.5</v>
      </c>
      <c r="K114" s="1">
        <v>99.5</v>
      </c>
      <c r="L114" s="1">
        <v>136.5</v>
      </c>
      <c r="M114" s="1">
        <v>124</v>
      </c>
      <c r="N114" s="1">
        <v>124.5</v>
      </c>
      <c r="O114" s="1">
        <v>118</v>
      </c>
    </row>
    <row r="115" spans="1:15">
      <c r="A115" s="1">
        <v>10</v>
      </c>
      <c r="B115" s="1">
        <v>174</v>
      </c>
      <c r="C115" s="1">
        <v>102</v>
      </c>
      <c r="D115" s="1">
        <v>155.5</v>
      </c>
      <c r="E115" s="1">
        <v>122</v>
      </c>
      <c r="F115" s="1">
        <v>126.5</v>
      </c>
      <c r="G115" s="1">
        <v>128.5</v>
      </c>
      <c r="I115" s="1">
        <v>10</v>
      </c>
      <c r="J115" s="1">
        <v>199</v>
      </c>
      <c r="K115" s="1">
        <v>128.5</v>
      </c>
      <c r="L115" s="1">
        <v>183.5</v>
      </c>
      <c r="M115" s="1">
        <v>147</v>
      </c>
      <c r="N115" s="1">
        <v>156.5</v>
      </c>
      <c r="O115" s="1">
        <v>148</v>
      </c>
    </row>
    <row r="116" spans="1:15">
      <c r="A116" s="1">
        <v>20</v>
      </c>
      <c r="B116" s="1">
        <v>174</v>
      </c>
      <c r="C116" s="1">
        <v>120.5</v>
      </c>
      <c r="D116" s="1">
        <v>181.5</v>
      </c>
      <c r="E116" s="1">
        <v>153</v>
      </c>
      <c r="F116" s="1">
        <v>160</v>
      </c>
      <c r="G116" s="1">
        <v>161.5</v>
      </c>
      <c r="I116" s="1">
        <v>20</v>
      </c>
      <c r="J116" s="1">
        <v>221.5</v>
      </c>
      <c r="K116" s="1">
        <v>144.5</v>
      </c>
      <c r="L116" s="1">
        <v>231</v>
      </c>
      <c r="M116" s="1">
        <v>186</v>
      </c>
      <c r="N116" s="1">
        <v>187.5</v>
      </c>
      <c r="O116" s="1">
        <v>181</v>
      </c>
    </row>
    <row r="117" spans="1:15">
      <c r="A117" s="1">
        <v>40</v>
      </c>
      <c r="B117" s="1">
        <v>233.5</v>
      </c>
      <c r="C117" s="1">
        <v>139</v>
      </c>
      <c r="D117" s="1">
        <v>239.5</v>
      </c>
      <c r="E117" s="1">
        <v>192</v>
      </c>
      <c r="F117" s="1">
        <v>188.5</v>
      </c>
      <c r="G117" s="1">
        <v>184</v>
      </c>
      <c r="I117" s="1">
        <v>40</v>
      </c>
      <c r="J117" s="1">
        <v>261</v>
      </c>
      <c r="K117" s="1">
        <v>180</v>
      </c>
      <c r="L117" s="1">
        <v>261</v>
      </c>
      <c r="M117" s="1">
        <v>222.5</v>
      </c>
      <c r="N117" s="1">
        <v>208.5</v>
      </c>
      <c r="O117" s="1">
        <v>213</v>
      </c>
    </row>
    <row r="118" spans="1:15">
      <c r="A118" s="1">
        <v>80</v>
      </c>
      <c r="B118" s="1">
        <v>275</v>
      </c>
      <c r="C118" s="1">
        <v>183.5</v>
      </c>
      <c r="D118" s="1">
        <v>267.5</v>
      </c>
      <c r="E118" s="1">
        <v>225</v>
      </c>
      <c r="F118" s="1">
        <v>227</v>
      </c>
      <c r="G118" s="1">
        <v>243</v>
      </c>
      <c r="I118" s="1">
        <v>80</v>
      </c>
      <c r="J118" s="1">
        <v>274.5</v>
      </c>
      <c r="K118" s="1">
        <v>210.5</v>
      </c>
      <c r="L118" s="1">
        <v>266</v>
      </c>
      <c r="M118" s="1">
        <v>253</v>
      </c>
      <c r="N118" s="1">
        <v>259.5</v>
      </c>
      <c r="O118" s="1">
        <v>251</v>
      </c>
    </row>
    <row r="119" spans="1:15">
      <c r="A119" s="1">
        <v>160</v>
      </c>
      <c r="B119" s="1">
        <v>284</v>
      </c>
      <c r="C119" s="1">
        <v>221</v>
      </c>
      <c r="D119" s="1">
        <v>276.5</v>
      </c>
      <c r="E119" s="1">
        <v>252</v>
      </c>
      <c r="F119" s="1">
        <v>273</v>
      </c>
      <c r="G119" s="1">
        <v>253.5</v>
      </c>
      <c r="I119" s="1">
        <v>160</v>
      </c>
      <c r="J119" s="1">
        <v>279</v>
      </c>
      <c r="K119" s="1">
        <v>265</v>
      </c>
      <c r="L119" s="1">
        <v>286.5</v>
      </c>
      <c r="M119" s="1">
        <v>264.5</v>
      </c>
      <c r="N119" s="1">
        <v>282</v>
      </c>
      <c r="O119" s="1">
        <v>255</v>
      </c>
    </row>
    <row r="120" spans="1:15">
      <c r="A120" s="1">
        <v>320</v>
      </c>
      <c r="B120" s="1">
        <v>284.5</v>
      </c>
      <c r="C120" s="1">
        <v>274</v>
      </c>
      <c r="D120" s="1">
        <v>283.5</v>
      </c>
      <c r="E120" s="1">
        <v>274.5</v>
      </c>
      <c r="F120" s="1">
        <v>273.5</v>
      </c>
      <c r="G120" s="1">
        <v>265</v>
      </c>
      <c r="I120" s="1">
        <v>320</v>
      </c>
      <c r="J120" s="1">
        <v>298</v>
      </c>
      <c r="K120" s="1">
        <v>292.5</v>
      </c>
      <c r="L120" s="1">
        <v>287.5</v>
      </c>
      <c r="M120" s="1">
        <v>270.5</v>
      </c>
      <c r="N120" s="1">
        <v>273</v>
      </c>
      <c r="O120" s="1">
        <v>254.5</v>
      </c>
    </row>
    <row r="121" spans="1:15">
      <c r="A121" s="1" t="s">
        <v>161</v>
      </c>
      <c r="B121" s="1"/>
      <c r="C121" s="1"/>
      <c r="D121" s="1"/>
      <c r="E121" s="1"/>
      <c r="F121" s="1"/>
      <c r="G121" s="1"/>
      <c r="I121" s="21"/>
      <c r="J121" s="1"/>
      <c r="K121" s="1"/>
      <c r="L121" s="1"/>
      <c r="M121" s="1"/>
      <c r="N121" s="1"/>
      <c r="O121" s="1"/>
    </row>
    <row r="122" spans="1:15">
      <c r="A122" s="1"/>
      <c r="B122" s="1" t="s">
        <v>46</v>
      </c>
      <c r="C122" s="1" t="s">
        <v>105</v>
      </c>
      <c r="D122" s="1" t="s">
        <v>106</v>
      </c>
      <c r="E122" s="1" t="s">
        <v>48</v>
      </c>
      <c r="F122" s="1" t="s">
        <v>113</v>
      </c>
      <c r="G122" s="1" t="s">
        <v>114</v>
      </c>
      <c r="I122" s="1"/>
      <c r="J122" s="1" t="s">
        <v>46</v>
      </c>
      <c r="K122" s="1" t="s">
        <v>105</v>
      </c>
      <c r="L122" s="1" t="s">
        <v>106</v>
      </c>
      <c r="M122" s="1" t="s">
        <v>48</v>
      </c>
      <c r="N122" s="1" t="s">
        <v>113</v>
      </c>
      <c r="O122" s="1" t="s">
        <v>114</v>
      </c>
    </row>
    <row r="123" spans="1:15">
      <c r="A123" s="1">
        <v>7.8125E-2</v>
      </c>
      <c r="B123" s="1">
        <v>47</v>
      </c>
      <c r="C123" s="1">
        <v>69.5</v>
      </c>
      <c r="D123" s="1">
        <v>71</v>
      </c>
      <c r="E123" s="1">
        <v>94</v>
      </c>
      <c r="F123" s="1">
        <v>93</v>
      </c>
      <c r="G123" s="1">
        <v>92.5</v>
      </c>
      <c r="I123" s="1">
        <v>7.8125E-2</v>
      </c>
      <c r="J123" s="1">
        <v>83</v>
      </c>
      <c r="K123" s="1">
        <v>91</v>
      </c>
      <c r="L123" s="1">
        <v>94.5</v>
      </c>
      <c r="M123" s="1">
        <v>102</v>
      </c>
      <c r="N123" s="1">
        <v>89.5</v>
      </c>
      <c r="O123" s="1">
        <v>107</v>
      </c>
    </row>
    <row r="124" spans="1:15">
      <c r="A124" s="1">
        <v>0.15625</v>
      </c>
      <c r="B124" s="1">
        <v>59</v>
      </c>
      <c r="C124" s="1">
        <v>74.5</v>
      </c>
      <c r="D124" s="1">
        <v>78.5</v>
      </c>
      <c r="E124" s="1">
        <v>99.5</v>
      </c>
      <c r="F124" s="1">
        <v>96</v>
      </c>
      <c r="G124" s="1">
        <v>103</v>
      </c>
      <c r="I124" s="1">
        <v>0.15625</v>
      </c>
      <c r="J124" s="1">
        <v>83.5</v>
      </c>
      <c r="K124" s="1">
        <v>84</v>
      </c>
      <c r="L124" s="1">
        <v>89.5</v>
      </c>
      <c r="M124" s="1">
        <v>108</v>
      </c>
      <c r="N124" s="1">
        <v>98.5</v>
      </c>
      <c r="O124" s="1">
        <v>104</v>
      </c>
    </row>
    <row r="125" spans="1:15">
      <c r="A125" s="1">
        <v>0.3125</v>
      </c>
      <c r="B125" s="1">
        <v>54.5</v>
      </c>
      <c r="C125" s="1">
        <v>69</v>
      </c>
      <c r="D125" s="1">
        <v>85</v>
      </c>
      <c r="E125" s="1">
        <v>89.5</v>
      </c>
      <c r="F125" s="1">
        <v>93</v>
      </c>
      <c r="G125" s="1">
        <v>82.5</v>
      </c>
      <c r="I125" s="1">
        <v>0.3125</v>
      </c>
      <c r="J125" s="1">
        <v>76.5</v>
      </c>
      <c r="K125" s="1">
        <v>85</v>
      </c>
      <c r="L125" s="1">
        <v>76</v>
      </c>
      <c r="M125" s="1">
        <v>93.5</v>
      </c>
      <c r="N125" s="1">
        <v>80</v>
      </c>
      <c r="O125" s="1">
        <v>92</v>
      </c>
    </row>
    <row r="126" spans="1:15">
      <c r="A126" s="1">
        <v>0.625</v>
      </c>
      <c r="B126" s="1">
        <v>62</v>
      </c>
      <c r="C126" s="1">
        <v>65</v>
      </c>
      <c r="D126" s="1">
        <v>74</v>
      </c>
      <c r="E126" s="1">
        <v>83.5</v>
      </c>
      <c r="F126" s="1">
        <v>73</v>
      </c>
      <c r="G126" s="1">
        <v>80</v>
      </c>
      <c r="I126" s="1">
        <v>0.625</v>
      </c>
      <c r="J126" s="1">
        <v>88</v>
      </c>
      <c r="K126" s="1">
        <v>74.5</v>
      </c>
      <c r="L126" s="1">
        <v>85.5</v>
      </c>
      <c r="M126" s="1">
        <v>96</v>
      </c>
      <c r="N126" s="1">
        <v>80</v>
      </c>
      <c r="O126" s="1">
        <v>85</v>
      </c>
    </row>
    <row r="127" spans="1:15">
      <c r="A127" s="1">
        <v>1.25</v>
      </c>
      <c r="B127" s="1">
        <v>70</v>
      </c>
      <c r="C127" s="1">
        <v>78</v>
      </c>
      <c r="D127" s="1">
        <v>77.5</v>
      </c>
      <c r="E127" s="1">
        <v>86.5</v>
      </c>
      <c r="F127" s="1">
        <v>88</v>
      </c>
      <c r="G127" s="1">
        <v>104</v>
      </c>
      <c r="I127" s="1">
        <v>1.25</v>
      </c>
      <c r="J127" s="1">
        <v>93.5</v>
      </c>
      <c r="K127" s="1">
        <v>70</v>
      </c>
      <c r="L127" s="1">
        <v>97</v>
      </c>
      <c r="M127" s="1">
        <v>89</v>
      </c>
      <c r="N127" s="1">
        <v>109</v>
      </c>
      <c r="O127" s="1">
        <v>102</v>
      </c>
    </row>
    <row r="128" spans="1:15">
      <c r="A128" s="1">
        <v>2.5</v>
      </c>
      <c r="B128" s="1">
        <v>92</v>
      </c>
      <c r="C128" s="1">
        <v>77</v>
      </c>
      <c r="D128" s="1">
        <v>92.5</v>
      </c>
      <c r="E128" s="1">
        <v>107</v>
      </c>
      <c r="F128" s="1">
        <v>112</v>
      </c>
      <c r="G128" s="1">
        <v>97</v>
      </c>
      <c r="I128" s="1">
        <v>2.5</v>
      </c>
      <c r="J128" s="1">
        <v>101</v>
      </c>
      <c r="K128" s="1">
        <v>78.5</v>
      </c>
      <c r="L128" s="1">
        <v>121</v>
      </c>
      <c r="M128" s="1">
        <v>109</v>
      </c>
      <c r="N128" s="1">
        <v>116</v>
      </c>
      <c r="O128" s="1">
        <v>117</v>
      </c>
    </row>
    <row r="129" spans="1:15">
      <c r="A129" s="1">
        <v>5</v>
      </c>
      <c r="B129" s="1">
        <v>119.5</v>
      </c>
      <c r="C129" s="1">
        <v>94</v>
      </c>
      <c r="D129" s="1">
        <v>119.5</v>
      </c>
      <c r="E129" s="1">
        <v>128</v>
      </c>
      <c r="F129" s="1">
        <v>122.5</v>
      </c>
      <c r="G129" s="1">
        <v>113</v>
      </c>
      <c r="I129" s="1">
        <v>5</v>
      </c>
      <c r="J129" s="1">
        <v>150.5</v>
      </c>
      <c r="K129" s="1">
        <v>105</v>
      </c>
      <c r="L129" s="1">
        <v>178.5</v>
      </c>
      <c r="M129" s="1">
        <v>141.5</v>
      </c>
      <c r="N129" s="1">
        <v>145.5</v>
      </c>
      <c r="O129" s="1">
        <v>145.5</v>
      </c>
    </row>
    <row r="130" spans="1:15">
      <c r="A130" s="1">
        <v>10</v>
      </c>
      <c r="B130" s="1">
        <v>141.5</v>
      </c>
      <c r="C130" s="1">
        <v>110.5</v>
      </c>
      <c r="D130" s="1">
        <v>147</v>
      </c>
      <c r="E130" s="1">
        <v>137.5</v>
      </c>
      <c r="F130" s="1">
        <v>146.5</v>
      </c>
      <c r="G130" s="1">
        <v>129.5</v>
      </c>
      <c r="I130" s="1">
        <v>10</v>
      </c>
      <c r="J130" s="1">
        <v>194</v>
      </c>
      <c r="K130" s="1">
        <v>118.5</v>
      </c>
      <c r="L130" s="1">
        <v>207.5</v>
      </c>
      <c r="M130" s="1">
        <v>153</v>
      </c>
      <c r="N130" s="1">
        <v>178.5</v>
      </c>
      <c r="O130" s="1">
        <v>158.5</v>
      </c>
    </row>
    <row r="131" spans="1:15">
      <c r="A131" s="1">
        <v>20</v>
      </c>
      <c r="B131" s="1">
        <v>186.5</v>
      </c>
      <c r="C131" s="1">
        <v>120.5</v>
      </c>
      <c r="D131" s="1">
        <v>185</v>
      </c>
      <c r="E131" s="1">
        <v>166</v>
      </c>
      <c r="F131" s="1">
        <v>152.5</v>
      </c>
      <c r="G131" s="1">
        <v>163</v>
      </c>
      <c r="I131" s="1">
        <v>20</v>
      </c>
      <c r="J131" s="1">
        <v>229.5</v>
      </c>
      <c r="K131" s="1">
        <v>137</v>
      </c>
      <c r="L131" s="1">
        <v>249.5</v>
      </c>
      <c r="M131" s="1">
        <v>209.5</v>
      </c>
      <c r="N131" s="1">
        <v>199</v>
      </c>
      <c r="O131" s="1">
        <v>202.5</v>
      </c>
    </row>
    <row r="132" spans="1:15">
      <c r="A132" s="1">
        <v>40</v>
      </c>
      <c r="B132" s="1">
        <v>237</v>
      </c>
      <c r="C132" s="1">
        <v>145.5</v>
      </c>
      <c r="D132" s="1">
        <v>230.5</v>
      </c>
      <c r="E132" s="1">
        <v>199.5</v>
      </c>
      <c r="F132" s="1">
        <v>184.5</v>
      </c>
      <c r="G132" s="1">
        <v>203.5</v>
      </c>
      <c r="I132" s="1">
        <v>40</v>
      </c>
      <c r="J132" s="1">
        <v>272</v>
      </c>
      <c r="K132" s="1">
        <v>172</v>
      </c>
      <c r="L132" s="1">
        <v>274.5</v>
      </c>
      <c r="M132" s="1">
        <v>235</v>
      </c>
      <c r="N132" s="1">
        <v>233</v>
      </c>
      <c r="O132" s="1">
        <v>235.5</v>
      </c>
    </row>
    <row r="133" spans="1:15">
      <c r="A133" s="1">
        <v>80</v>
      </c>
      <c r="B133" s="1">
        <v>283</v>
      </c>
      <c r="C133" s="1">
        <v>182.5</v>
      </c>
      <c r="D133" s="1">
        <v>266.5</v>
      </c>
      <c r="E133" s="1">
        <v>226</v>
      </c>
      <c r="F133" s="1">
        <v>226</v>
      </c>
      <c r="G133" s="1">
        <v>233</v>
      </c>
      <c r="I133" s="1">
        <v>80</v>
      </c>
      <c r="J133" s="1">
        <v>277.5</v>
      </c>
      <c r="K133" s="1">
        <v>246.5</v>
      </c>
      <c r="L133" s="1">
        <v>279.5</v>
      </c>
      <c r="M133" s="1">
        <v>257.5</v>
      </c>
      <c r="N133" s="1">
        <v>255.5</v>
      </c>
      <c r="O133" s="1">
        <v>253</v>
      </c>
    </row>
    <row r="134" spans="1:15">
      <c r="A134" s="1">
        <v>160</v>
      </c>
      <c r="B134" s="1">
        <v>289.5</v>
      </c>
      <c r="C134" s="1">
        <v>225.5</v>
      </c>
      <c r="D134" s="1">
        <v>294.5</v>
      </c>
      <c r="E134" s="1">
        <v>265.5</v>
      </c>
      <c r="F134" s="1">
        <v>265</v>
      </c>
      <c r="G134" s="1">
        <v>263</v>
      </c>
      <c r="I134" s="1">
        <v>160</v>
      </c>
      <c r="J134" s="1">
        <v>285</v>
      </c>
      <c r="K134" s="1">
        <v>269</v>
      </c>
      <c r="L134" s="1">
        <v>281</v>
      </c>
      <c r="M134" s="1">
        <v>279.5</v>
      </c>
      <c r="N134" s="1">
        <v>271.5</v>
      </c>
      <c r="O134" s="1">
        <v>273.5</v>
      </c>
    </row>
    <row r="135" spans="1:15">
      <c r="A135" s="1">
        <v>320</v>
      </c>
      <c r="B135" s="1">
        <v>307</v>
      </c>
      <c r="C135" s="1">
        <v>292.5</v>
      </c>
      <c r="D135" s="1">
        <v>293</v>
      </c>
      <c r="E135" s="1">
        <v>294.5</v>
      </c>
      <c r="F135" s="1">
        <v>279</v>
      </c>
      <c r="G135" s="1">
        <v>281.5</v>
      </c>
      <c r="I135" s="1">
        <v>320</v>
      </c>
      <c r="J135" s="1">
        <v>294</v>
      </c>
      <c r="K135" s="1">
        <v>311.5</v>
      </c>
      <c r="L135" s="1">
        <v>300.5</v>
      </c>
      <c r="M135" s="1">
        <v>269.5</v>
      </c>
      <c r="N135" s="1">
        <v>294</v>
      </c>
      <c r="O135" s="1">
        <v>267</v>
      </c>
    </row>
    <row r="136" spans="1:15">
      <c r="A136" s="1" t="s">
        <v>164</v>
      </c>
      <c r="B136" s="1"/>
      <c r="C136" s="1"/>
      <c r="D136" s="1"/>
      <c r="E136" s="1"/>
      <c r="F136" s="1"/>
      <c r="G136" s="1"/>
    </row>
    <row r="137" spans="1:15">
      <c r="A137" s="1"/>
      <c r="B137" s="1" t="s">
        <v>46</v>
      </c>
      <c r="C137" s="1" t="s">
        <v>105</v>
      </c>
      <c r="D137" s="1" t="s">
        <v>106</v>
      </c>
      <c r="E137" s="1" t="s">
        <v>48</v>
      </c>
      <c r="F137" s="1" t="s">
        <v>113</v>
      </c>
      <c r="G137" s="1" t="s">
        <v>114</v>
      </c>
      <c r="I137" s="1"/>
      <c r="J137" s="1" t="s">
        <v>46</v>
      </c>
      <c r="K137" s="1" t="s">
        <v>105</v>
      </c>
      <c r="L137" s="1" t="s">
        <v>106</v>
      </c>
      <c r="M137" s="1" t="s">
        <v>48</v>
      </c>
      <c r="N137" s="1" t="s">
        <v>113</v>
      </c>
      <c r="O137" s="1" t="s">
        <v>114</v>
      </c>
    </row>
    <row r="138" spans="1:15">
      <c r="A138" s="1">
        <v>7.8125E-2</v>
      </c>
      <c r="B138" s="1">
        <v>77.5</v>
      </c>
      <c r="C138" s="1">
        <v>82</v>
      </c>
      <c r="D138" s="1">
        <v>78</v>
      </c>
      <c r="E138" s="1">
        <v>80</v>
      </c>
      <c r="F138" s="1">
        <v>91</v>
      </c>
      <c r="G138" s="1">
        <v>66</v>
      </c>
      <c r="I138" s="1">
        <v>7.8125E-2</v>
      </c>
      <c r="J138" s="1">
        <v>64.5</v>
      </c>
      <c r="K138" s="1">
        <v>62</v>
      </c>
      <c r="L138" s="1">
        <v>80</v>
      </c>
      <c r="M138" s="1">
        <v>82</v>
      </c>
      <c r="N138" s="1">
        <v>63</v>
      </c>
      <c r="O138" s="1">
        <v>70</v>
      </c>
    </row>
    <row r="139" spans="1:15">
      <c r="A139" s="1">
        <v>0.15625</v>
      </c>
      <c r="B139" s="1">
        <v>90</v>
      </c>
      <c r="C139" s="1">
        <v>70</v>
      </c>
      <c r="D139" s="1">
        <v>82</v>
      </c>
      <c r="E139" s="1">
        <v>70.5</v>
      </c>
      <c r="F139" s="1">
        <v>83.5</v>
      </c>
      <c r="G139" s="1">
        <v>67.5</v>
      </c>
      <c r="I139" s="1">
        <v>0.15625</v>
      </c>
      <c r="J139" s="1">
        <v>87</v>
      </c>
      <c r="K139" s="1">
        <v>63</v>
      </c>
      <c r="L139" s="1">
        <v>88</v>
      </c>
      <c r="M139" s="1">
        <v>77</v>
      </c>
      <c r="N139" s="1">
        <v>58.5</v>
      </c>
      <c r="O139" s="1">
        <v>73</v>
      </c>
    </row>
    <row r="140" spans="1:15">
      <c r="A140" s="1">
        <v>0.3125</v>
      </c>
      <c r="B140" s="1">
        <v>67</v>
      </c>
      <c r="C140" s="1">
        <v>77.5</v>
      </c>
      <c r="D140" s="1">
        <v>74</v>
      </c>
      <c r="E140" s="1">
        <v>90.5</v>
      </c>
      <c r="F140" s="1">
        <v>78</v>
      </c>
      <c r="G140" s="1">
        <v>81</v>
      </c>
      <c r="I140" s="1">
        <v>0.3125</v>
      </c>
      <c r="J140" s="1">
        <v>82</v>
      </c>
      <c r="K140" s="1">
        <v>78</v>
      </c>
      <c r="L140" s="1">
        <v>87</v>
      </c>
      <c r="M140" s="1">
        <v>83.5</v>
      </c>
      <c r="N140" s="1">
        <v>70.5</v>
      </c>
      <c r="O140" s="1">
        <v>72.5</v>
      </c>
    </row>
    <row r="141" spans="1:15">
      <c r="A141" s="1">
        <v>0.625</v>
      </c>
      <c r="B141" s="1">
        <v>76</v>
      </c>
      <c r="C141" s="1">
        <v>72.5</v>
      </c>
      <c r="D141" s="1">
        <v>85.5</v>
      </c>
      <c r="E141" s="1">
        <v>63</v>
      </c>
      <c r="F141" s="1">
        <v>75</v>
      </c>
      <c r="G141" s="1">
        <v>60</v>
      </c>
      <c r="I141" s="1">
        <v>0.625</v>
      </c>
      <c r="J141" s="1">
        <v>85</v>
      </c>
      <c r="K141" s="1">
        <v>57.5</v>
      </c>
      <c r="L141" s="1">
        <v>60</v>
      </c>
      <c r="M141" s="1">
        <v>91</v>
      </c>
      <c r="N141" s="1">
        <v>67</v>
      </c>
      <c r="O141" s="1">
        <v>61</v>
      </c>
    </row>
    <row r="142" spans="1:15">
      <c r="A142" s="1">
        <v>1.25</v>
      </c>
      <c r="B142" s="1">
        <v>65.5</v>
      </c>
      <c r="C142" s="1">
        <v>50</v>
      </c>
      <c r="D142" s="1">
        <v>69.5</v>
      </c>
      <c r="E142" s="1">
        <v>84.5</v>
      </c>
      <c r="F142" s="1">
        <v>78</v>
      </c>
      <c r="G142" s="1">
        <v>79.5</v>
      </c>
      <c r="I142" s="1">
        <v>1.25</v>
      </c>
      <c r="J142" s="1">
        <v>75.5</v>
      </c>
      <c r="K142" s="1">
        <v>64.5</v>
      </c>
      <c r="L142" s="1">
        <v>78</v>
      </c>
      <c r="M142" s="1">
        <v>71</v>
      </c>
      <c r="N142" s="1">
        <v>67.5</v>
      </c>
      <c r="O142" s="1">
        <v>79</v>
      </c>
    </row>
    <row r="143" spans="1:15">
      <c r="A143" s="1">
        <v>2.5</v>
      </c>
      <c r="B143" s="1">
        <v>69</v>
      </c>
      <c r="C143" s="1">
        <v>66.5</v>
      </c>
      <c r="D143" s="1">
        <v>68.5</v>
      </c>
      <c r="E143" s="1">
        <v>53</v>
      </c>
      <c r="F143" s="1">
        <v>64</v>
      </c>
      <c r="G143" s="1">
        <v>71.5</v>
      </c>
      <c r="I143" s="1">
        <v>2.5</v>
      </c>
      <c r="J143" s="1">
        <v>79</v>
      </c>
      <c r="K143" s="1">
        <v>71</v>
      </c>
      <c r="L143" s="1">
        <v>88.5</v>
      </c>
      <c r="M143" s="1">
        <v>73</v>
      </c>
      <c r="N143" s="1">
        <v>55.5</v>
      </c>
      <c r="O143" s="1">
        <v>56.5</v>
      </c>
    </row>
    <row r="144" spans="1:15">
      <c r="A144" s="1">
        <v>5</v>
      </c>
      <c r="B144" s="1">
        <v>91.5</v>
      </c>
      <c r="C144" s="1">
        <v>72</v>
      </c>
      <c r="D144" s="1">
        <v>69.5</v>
      </c>
      <c r="E144" s="1">
        <v>66.5</v>
      </c>
      <c r="F144" s="1">
        <v>89</v>
      </c>
      <c r="G144" s="1">
        <v>73.5</v>
      </c>
      <c r="I144" s="1">
        <v>5</v>
      </c>
      <c r="J144" s="1">
        <v>104</v>
      </c>
      <c r="K144" s="1">
        <v>72</v>
      </c>
      <c r="L144" s="1">
        <v>104.5</v>
      </c>
      <c r="M144" s="1">
        <v>85</v>
      </c>
      <c r="N144" s="1">
        <v>85.5</v>
      </c>
      <c r="O144" s="1">
        <v>67</v>
      </c>
    </row>
    <row r="145" spans="1:15">
      <c r="A145" s="1">
        <v>10</v>
      </c>
      <c r="B145" s="1">
        <v>123.5</v>
      </c>
      <c r="C145" s="1">
        <v>89.5</v>
      </c>
      <c r="D145" s="1">
        <v>123.5</v>
      </c>
      <c r="E145" s="1">
        <v>93</v>
      </c>
      <c r="F145" s="1">
        <v>104.5</v>
      </c>
      <c r="G145" s="1">
        <v>92</v>
      </c>
      <c r="I145" s="1">
        <v>10</v>
      </c>
      <c r="J145" s="1">
        <v>158.5</v>
      </c>
      <c r="K145" s="1">
        <v>98</v>
      </c>
      <c r="L145" s="1">
        <v>160</v>
      </c>
      <c r="M145" s="1">
        <v>122.5</v>
      </c>
      <c r="N145" s="1">
        <v>126</v>
      </c>
      <c r="O145" s="1">
        <v>116.5</v>
      </c>
    </row>
    <row r="146" spans="1:15">
      <c r="A146" s="1">
        <v>20</v>
      </c>
      <c r="B146" s="1">
        <v>179.5</v>
      </c>
      <c r="C146" s="1">
        <v>109</v>
      </c>
      <c r="D146" s="1">
        <v>179</v>
      </c>
      <c r="E146" s="1">
        <v>138</v>
      </c>
      <c r="F146" s="1">
        <v>146.5</v>
      </c>
      <c r="G146" s="1">
        <v>128.5</v>
      </c>
      <c r="I146" s="1">
        <v>20</v>
      </c>
      <c r="J146" s="1">
        <v>207.5</v>
      </c>
      <c r="K146" s="1">
        <v>135.5</v>
      </c>
      <c r="L146" s="1">
        <v>226</v>
      </c>
      <c r="M146" s="1">
        <v>159.5</v>
      </c>
      <c r="N146" s="1">
        <v>172</v>
      </c>
      <c r="O146" s="1">
        <v>164.5</v>
      </c>
    </row>
    <row r="147" spans="1:15">
      <c r="A147" s="1">
        <v>40</v>
      </c>
      <c r="B147" s="1">
        <v>238.5</v>
      </c>
      <c r="C147" s="1">
        <v>141</v>
      </c>
      <c r="D147" s="1">
        <v>222.5</v>
      </c>
      <c r="E147" s="1">
        <v>185</v>
      </c>
      <c r="F147" s="1">
        <v>185.5</v>
      </c>
      <c r="G147" s="1">
        <v>173.5</v>
      </c>
      <c r="I147" s="1">
        <v>40</v>
      </c>
      <c r="J147" s="1">
        <v>254</v>
      </c>
      <c r="K147" s="1">
        <v>183.5</v>
      </c>
      <c r="L147" s="1">
        <v>248.5</v>
      </c>
      <c r="M147" s="1">
        <v>224.5</v>
      </c>
      <c r="N147" s="1">
        <v>222</v>
      </c>
      <c r="O147" s="1">
        <v>224</v>
      </c>
    </row>
    <row r="148" spans="1:15">
      <c r="A148" s="1">
        <v>80</v>
      </c>
      <c r="B148" s="1">
        <v>248</v>
      </c>
      <c r="C148" s="1">
        <v>194</v>
      </c>
      <c r="D148" s="1">
        <v>257</v>
      </c>
      <c r="E148" s="1">
        <v>214</v>
      </c>
      <c r="F148" s="1">
        <v>236</v>
      </c>
      <c r="G148" s="1">
        <v>223</v>
      </c>
      <c r="I148" s="1">
        <v>80</v>
      </c>
      <c r="J148" s="1">
        <v>259</v>
      </c>
      <c r="K148" s="1">
        <v>243</v>
      </c>
      <c r="L148" s="1">
        <v>272</v>
      </c>
      <c r="M148" s="1">
        <v>258</v>
      </c>
      <c r="N148" s="1">
        <v>258</v>
      </c>
      <c r="O148" s="1">
        <v>255.5</v>
      </c>
    </row>
    <row r="149" spans="1:15">
      <c r="A149" s="1">
        <v>160</v>
      </c>
      <c r="B149" s="1">
        <v>251.5</v>
      </c>
      <c r="C149" s="1">
        <v>232</v>
      </c>
      <c r="D149" s="1">
        <v>258</v>
      </c>
      <c r="E149" s="1">
        <v>237</v>
      </c>
      <c r="F149" s="1">
        <v>245</v>
      </c>
      <c r="G149" s="1">
        <v>239</v>
      </c>
      <c r="I149" s="1">
        <v>160</v>
      </c>
      <c r="J149" s="1">
        <v>281</v>
      </c>
      <c r="K149" s="1">
        <v>269</v>
      </c>
      <c r="L149" s="1">
        <v>271</v>
      </c>
      <c r="M149" s="1">
        <v>250.5</v>
      </c>
      <c r="N149" s="1">
        <v>261.5</v>
      </c>
      <c r="O149" s="1">
        <v>255.5</v>
      </c>
    </row>
    <row r="150" spans="1:15">
      <c r="A150" s="1">
        <v>320</v>
      </c>
      <c r="B150" s="1">
        <v>264.5</v>
      </c>
      <c r="C150" s="1">
        <v>268.5</v>
      </c>
      <c r="D150" s="1">
        <v>283</v>
      </c>
      <c r="E150" s="1">
        <v>238.5</v>
      </c>
      <c r="F150" s="1">
        <v>243.5</v>
      </c>
      <c r="G150" s="1">
        <v>242.5</v>
      </c>
      <c r="I150" s="1">
        <v>320</v>
      </c>
      <c r="J150" s="1">
        <v>273</v>
      </c>
      <c r="K150" s="1">
        <v>286.5</v>
      </c>
      <c r="L150" s="1">
        <v>277.5</v>
      </c>
      <c r="M150" s="1">
        <v>267</v>
      </c>
      <c r="N150" s="1">
        <v>263.5</v>
      </c>
      <c r="O150" s="1">
        <v>263</v>
      </c>
    </row>
    <row r="151" spans="1:15">
      <c r="A151" s="1" t="s">
        <v>162</v>
      </c>
      <c r="B151" s="1"/>
      <c r="C151" s="1"/>
      <c r="D151" s="1"/>
      <c r="E151" s="1"/>
      <c r="F151" s="1"/>
      <c r="G151" s="1"/>
    </row>
    <row r="152" spans="1:15">
      <c r="A152" s="1"/>
      <c r="B152" s="1" t="s">
        <v>46</v>
      </c>
      <c r="C152" s="1" t="s">
        <v>105</v>
      </c>
      <c r="D152" s="1" t="s">
        <v>106</v>
      </c>
      <c r="E152" s="1" t="s">
        <v>48</v>
      </c>
      <c r="F152" s="1" t="s">
        <v>113</v>
      </c>
      <c r="G152" s="1" t="s">
        <v>114</v>
      </c>
      <c r="I152" s="1"/>
      <c r="J152" s="1" t="s">
        <v>46</v>
      </c>
      <c r="K152" s="1" t="s">
        <v>105</v>
      </c>
      <c r="L152" s="1" t="s">
        <v>106</v>
      </c>
      <c r="M152" s="1" t="s">
        <v>48</v>
      </c>
      <c r="N152" s="1" t="s">
        <v>113</v>
      </c>
      <c r="O152" s="1" t="s">
        <v>114</v>
      </c>
    </row>
    <row r="153" spans="1:15">
      <c r="A153" s="1">
        <v>7.8125E-2</v>
      </c>
      <c r="B153" s="1">
        <v>66</v>
      </c>
      <c r="C153" s="1">
        <v>67.5</v>
      </c>
      <c r="D153" s="1">
        <v>79</v>
      </c>
      <c r="E153" s="1">
        <v>94</v>
      </c>
      <c r="F153" s="1">
        <v>82</v>
      </c>
      <c r="G153" s="1">
        <v>83</v>
      </c>
      <c r="I153" s="1">
        <v>7.8125E-2</v>
      </c>
      <c r="J153" s="1">
        <v>66.5</v>
      </c>
      <c r="K153" s="1">
        <v>55.5</v>
      </c>
      <c r="L153" s="1">
        <v>65.5</v>
      </c>
      <c r="M153" s="1">
        <v>71</v>
      </c>
      <c r="N153" s="1">
        <v>73.5</v>
      </c>
      <c r="O153" s="1">
        <v>63.5</v>
      </c>
    </row>
    <row r="154" spans="1:15">
      <c r="A154" s="1">
        <v>0.15625</v>
      </c>
      <c r="B154" s="1">
        <v>50</v>
      </c>
      <c r="C154" s="1">
        <v>55.5</v>
      </c>
      <c r="D154" s="1">
        <v>57</v>
      </c>
      <c r="E154" s="1">
        <v>92</v>
      </c>
      <c r="F154" s="1">
        <v>75</v>
      </c>
      <c r="G154" s="1">
        <v>80.5</v>
      </c>
      <c r="I154" s="1">
        <v>0.15625</v>
      </c>
      <c r="J154" s="1">
        <v>53.5</v>
      </c>
      <c r="K154" s="1">
        <v>59.5</v>
      </c>
      <c r="L154" s="1">
        <v>70</v>
      </c>
      <c r="M154" s="1">
        <v>82</v>
      </c>
      <c r="N154" s="1">
        <v>70.5</v>
      </c>
      <c r="O154" s="1">
        <v>79.5</v>
      </c>
    </row>
    <row r="155" spans="1:15">
      <c r="A155" s="1">
        <v>0.3125</v>
      </c>
      <c r="B155" s="1">
        <v>57.5</v>
      </c>
      <c r="C155" s="1">
        <v>60.5</v>
      </c>
      <c r="D155" s="1">
        <v>62.5</v>
      </c>
      <c r="E155" s="1">
        <v>88.5</v>
      </c>
      <c r="F155" s="1">
        <v>92.5</v>
      </c>
      <c r="G155" s="1">
        <v>86</v>
      </c>
      <c r="I155" s="1">
        <v>0.3125</v>
      </c>
      <c r="J155" s="1">
        <v>65.5</v>
      </c>
      <c r="K155" s="1">
        <v>52</v>
      </c>
      <c r="L155" s="1">
        <v>68.5</v>
      </c>
      <c r="M155" s="1">
        <v>83</v>
      </c>
      <c r="N155" s="1">
        <v>75</v>
      </c>
      <c r="O155" s="1">
        <v>73.5</v>
      </c>
    </row>
    <row r="156" spans="1:15">
      <c r="A156" s="1">
        <v>0.625</v>
      </c>
      <c r="B156" s="1">
        <v>58</v>
      </c>
      <c r="C156" s="1">
        <v>49</v>
      </c>
      <c r="D156" s="1">
        <v>59.5</v>
      </c>
      <c r="E156" s="1">
        <v>67.5</v>
      </c>
      <c r="F156" s="1">
        <v>65</v>
      </c>
      <c r="G156" s="1">
        <v>72</v>
      </c>
      <c r="I156" s="1">
        <v>0.625</v>
      </c>
      <c r="J156" s="1">
        <v>58.5</v>
      </c>
      <c r="K156" s="1">
        <v>57</v>
      </c>
      <c r="L156" s="1">
        <v>63.5</v>
      </c>
      <c r="M156" s="1">
        <v>93</v>
      </c>
      <c r="N156" s="1">
        <v>63</v>
      </c>
      <c r="O156" s="1">
        <v>79</v>
      </c>
    </row>
    <row r="157" spans="1:15">
      <c r="A157" s="1">
        <v>1.25</v>
      </c>
      <c r="B157" s="1">
        <v>45.5</v>
      </c>
      <c r="C157" s="1">
        <v>56</v>
      </c>
      <c r="D157" s="1">
        <v>50</v>
      </c>
      <c r="E157" s="1">
        <v>65.5</v>
      </c>
      <c r="F157" s="1">
        <v>69.5</v>
      </c>
      <c r="G157" s="1">
        <v>66.5</v>
      </c>
      <c r="I157" s="1">
        <v>1.25</v>
      </c>
      <c r="J157" s="1">
        <v>71.5</v>
      </c>
      <c r="K157" s="1">
        <v>67.5</v>
      </c>
      <c r="L157" s="1">
        <v>82</v>
      </c>
      <c r="M157" s="1">
        <v>83</v>
      </c>
      <c r="N157" s="1">
        <v>68.5</v>
      </c>
      <c r="O157" s="1">
        <v>77.5</v>
      </c>
    </row>
    <row r="158" spans="1:15">
      <c r="A158" s="1">
        <v>2.5</v>
      </c>
      <c r="B158" s="1">
        <v>61.5</v>
      </c>
      <c r="C158" s="1">
        <v>49</v>
      </c>
      <c r="D158" s="1">
        <v>59.5</v>
      </c>
      <c r="E158" s="1">
        <v>73.5</v>
      </c>
      <c r="F158" s="1">
        <v>75.5</v>
      </c>
      <c r="G158" s="1">
        <v>73</v>
      </c>
      <c r="I158" s="1">
        <v>2.5</v>
      </c>
      <c r="J158" s="1">
        <v>55.5</v>
      </c>
      <c r="K158" s="1">
        <v>64</v>
      </c>
      <c r="L158" s="1">
        <v>88</v>
      </c>
      <c r="M158" s="1">
        <v>80.5</v>
      </c>
      <c r="N158" s="1">
        <v>88.5</v>
      </c>
      <c r="O158" s="1">
        <v>96.5</v>
      </c>
    </row>
    <row r="159" spans="1:15">
      <c r="A159" s="1">
        <v>5</v>
      </c>
      <c r="B159" s="1">
        <v>83</v>
      </c>
      <c r="C159" s="1">
        <v>72.5</v>
      </c>
      <c r="D159" s="1">
        <v>87.5</v>
      </c>
      <c r="E159" s="1">
        <v>81</v>
      </c>
      <c r="F159" s="1">
        <v>75</v>
      </c>
      <c r="G159" s="1">
        <v>78.5</v>
      </c>
      <c r="I159" s="1">
        <v>5</v>
      </c>
      <c r="J159" s="1">
        <v>111.5</v>
      </c>
      <c r="K159" s="1">
        <v>75</v>
      </c>
      <c r="L159" s="1">
        <v>124.5</v>
      </c>
      <c r="M159" s="1">
        <v>89.5</v>
      </c>
      <c r="N159" s="1">
        <v>106.5</v>
      </c>
      <c r="O159" s="1">
        <v>98</v>
      </c>
    </row>
    <row r="160" spans="1:15">
      <c r="A160" s="1">
        <v>10</v>
      </c>
      <c r="B160" s="1">
        <v>96</v>
      </c>
      <c r="C160" s="1">
        <v>60</v>
      </c>
      <c r="D160" s="1">
        <v>131</v>
      </c>
      <c r="E160" s="1">
        <v>114</v>
      </c>
      <c r="F160" s="1">
        <v>113</v>
      </c>
      <c r="G160" s="1">
        <v>96</v>
      </c>
      <c r="I160" s="1">
        <v>10</v>
      </c>
      <c r="J160" s="1">
        <v>149</v>
      </c>
      <c r="K160" s="1">
        <v>87.5</v>
      </c>
      <c r="L160" s="1">
        <v>161.5</v>
      </c>
      <c r="M160" s="1">
        <v>126.5</v>
      </c>
      <c r="N160" s="1">
        <v>118</v>
      </c>
      <c r="O160" s="1">
        <v>138.5</v>
      </c>
    </row>
    <row r="161" spans="1:15">
      <c r="A161" s="1">
        <v>20</v>
      </c>
      <c r="B161" s="1">
        <v>166</v>
      </c>
      <c r="C161" s="1">
        <v>103.5</v>
      </c>
      <c r="D161" s="1">
        <v>194</v>
      </c>
      <c r="E161" s="1">
        <v>145.5</v>
      </c>
      <c r="F161" s="1">
        <v>152.5</v>
      </c>
      <c r="G161" s="1">
        <v>153.5</v>
      </c>
      <c r="I161" s="1">
        <v>20</v>
      </c>
      <c r="J161" s="1">
        <v>226.5</v>
      </c>
      <c r="K161" s="1">
        <v>146.5</v>
      </c>
      <c r="L161" s="1">
        <v>231.5</v>
      </c>
      <c r="M161" s="1">
        <v>185</v>
      </c>
      <c r="N161" s="1">
        <v>197</v>
      </c>
      <c r="O161" s="1">
        <v>191</v>
      </c>
    </row>
    <row r="162" spans="1:15">
      <c r="A162" s="1">
        <v>40</v>
      </c>
      <c r="B162" s="1">
        <v>223</v>
      </c>
      <c r="C162" s="1">
        <v>125.5</v>
      </c>
      <c r="D162" s="1">
        <v>231.5</v>
      </c>
      <c r="E162" s="1">
        <v>190.5</v>
      </c>
      <c r="F162" s="1">
        <v>193</v>
      </c>
      <c r="G162" s="1">
        <v>193.5</v>
      </c>
      <c r="I162" s="1">
        <v>40</v>
      </c>
      <c r="J162" s="1">
        <v>255</v>
      </c>
      <c r="K162" s="1">
        <v>182.5</v>
      </c>
      <c r="L162" s="1">
        <v>279.5</v>
      </c>
      <c r="M162" s="1">
        <v>231</v>
      </c>
      <c r="N162" s="1">
        <v>245</v>
      </c>
      <c r="O162" s="1">
        <v>244</v>
      </c>
    </row>
    <row r="163" spans="1:15">
      <c r="A163" s="1">
        <v>80</v>
      </c>
      <c r="B163" s="1">
        <v>256.5</v>
      </c>
      <c r="C163" s="1">
        <v>175.5</v>
      </c>
      <c r="D163" s="1">
        <v>257.5</v>
      </c>
      <c r="E163" s="1">
        <v>227.5</v>
      </c>
      <c r="F163" s="1">
        <v>237</v>
      </c>
      <c r="G163" s="1">
        <v>235.5</v>
      </c>
      <c r="I163" s="1">
        <v>80</v>
      </c>
      <c r="J163" s="1">
        <v>282</v>
      </c>
      <c r="K163" s="1">
        <v>238.5</v>
      </c>
      <c r="L163" s="1">
        <v>286.5</v>
      </c>
      <c r="M163" s="1">
        <v>282.5</v>
      </c>
      <c r="N163" s="1">
        <v>265.5</v>
      </c>
      <c r="O163" s="1">
        <v>257</v>
      </c>
    </row>
    <row r="164" spans="1:15">
      <c r="A164" s="1">
        <v>160</v>
      </c>
      <c r="B164" s="1">
        <v>267.5</v>
      </c>
      <c r="C164" s="1">
        <v>225</v>
      </c>
      <c r="D164" s="1">
        <v>266.5</v>
      </c>
      <c r="E164" s="1">
        <v>252</v>
      </c>
      <c r="F164" s="1">
        <v>264</v>
      </c>
      <c r="G164" s="1">
        <v>251.5</v>
      </c>
      <c r="I164" s="1">
        <v>160</v>
      </c>
      <c r="J164" s="1">
        <v>297</v>
      </c>
      <c r="K164" s="1">
        <v>282</v>
      </c>
      <c r="L164" s="1">
        <v>295</v>
      </c>
      <c r="M164" s="1">
        <v>269.5</v>
      </c>
      <c r="N164" s="1">
        <v>267.5</v>
      </c>
      <c r="O164" s="1">
        <v>275</v>
      </c>
    </row>
    <row r="165" spans="1:15">
      <c r="A165" s="1">
        <v>320</v>
      </c>
      <c r="B165" s="1">
        <v>250</v>
      </c>
      <c r="C165" s="1">
        <v>272.5</v>
      </c>
      <c r="D165" s="1">
        <v>267.5</v>
      </c>
      <c r="E165" s="1">
        <v>259.5</v>
      </c>
      <c r="F165" s="1">
        <v>266</v>
      </c>
      <c r="G165" s="1">
        <v>250</v>
      </c>
      <c r="I165" s="1">
        <v>320</v>
      </c>
      <c r="J165" s="1">
        <v>260.5</v>
      </c>
      <c r="K165" s="1">
        <v>287.5</v>
      </c>
      <c r="L165" s="1">
        <v>279.5</v>
      </c>
      <c r="M165" s="1">
        <v>269</v>
      </c>
      <c r="N165" s="1">
        <v>281</v>
      </c>
      <c r="O165" s="1">
        <v>278.5</v>
      </c>
    </row>
    <row r="166" spans="1:15">
      <c r="A166" s="1" t="s">
        <v>165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5">
      <c r="A167" s="1"/>
      <c r="B167" s="1" t="s">
        <v>46</v>
      </c>
      <c r="C167" s="1" t="s">
        <v>105</v>
      </c>
      <c r="D167" s="1" t="s">
        <v>106</v>
      </c>
      <c r="E167" s="1" t="s">
        <v>48</v>
      </c>
      <c r="F167" s="1" t="s">
        <v>113</v>
      </c>
      <c r="G167" s="1" t="s">
        <v>114</v>
      </c>
      <c r="H167" s="1"/>
      <c r="I167" s="1"/>
      <c r="J167" s="1" t="s">
        <v>46</v>
      </c>
      <c r="K167" s="1" t="s">
        <v>105</v>
      </c>
      <c r="L167" s="1" t="s">
        <v>106</v>
      </c>
      <c r="M167" s="1" t="s">
        <v>48</v>
      </c>
      <c r="N167" s="1" t="s">
        <v>113</v>
      </c>
      <c r="O167" s="1" t="s">
        <v>114</v>
      </c>
    </row>
    <row r="168" spans="1:15">
      <c r="A168" s="1">
        <v>7.8125E-2</v>
      </c>
      <c r="B168" s="1">
        <v>128</v>
      </c>
      <c r="C168" s="1">
        <v>108.5</v>
      </c>
      <c r="D168" s="1">
        <v>123</v>
      </c>
      <c r="E168" s="1">
        <v>124.5</v>
      </c>
      <c r="F168" s="1">
        <v>118</v>
      </c>
      <c r="G168" s="1">
        <v>98</v>
      </c>
      <c r="H168" s="1"/>
      <c r="I168" s="1">
        <v>7.8125E-2</v>
      </c>
      <c r="J168" s="1">
        <v>118</v>
      </c>
      <c r="K168" s="1">
        <v>117</v>
      </c>
      <c r="L168" s="1">
        <v>112.5</v>
      </c>
      <c r="M168" s="1">
        <v>107</v>
      </c>
      <c r="N168" s="1">
        <v>105.5</v>
      </c>
      <c r="O168" s="1">
        <v>97.5</v>
      </c>
    </row>
    <row r="169" spans="1:15">
      <c r="A169" s="1">
        <v>0.15625</v>
      </c>
      <c r="B169" s="1">
        <v>130.5</v>
      </c>
      <c r="C169" s="1">
        <v>132.5</v>
      </c>
      <c r="D169" s="1">
        <v>110.5</v>
      </c>
      <c r="E169" s="1">
        <v>115.5</v>
      </c>
      <c r="F169" s="1">
        <v>102.5</v>
      </c>
      <c r="G169" s="1">
        <v>100</v>
      </c>
      <c r="H169" s="1"/>
      <c r="I169" s="1">
        <v>0.15625</v>
      </c>
      <c r="J169" s="1">
        <v>121.5</v>
      </c>
      <c r="K169" s="1">
        <v>105</v>
      </c>
      <c r="L169" s="1">
        <v>107.5</v>
      </c>
      <c r="M169" s="1">
        <v>106.5</v>
      </c>
      <c r="N169" s="1">
        <v>97.5</v>
      </c>
      <c r="O169" s="1">
        <v>96.5</v>
      </c>
    </row>
    <row r="170" spans="1:15">
      <c r="A170" s="1">
        <v>0.3125</v>
      </c>
      <c r="B170" s="1">
        <v>124.5</v>
      </c>
      <c r="C170" s="1">
        <v>115.5</v>
      </c>
      <c r="D170" s="1">
        <v>108</v>
      </c>
      <c r="E170" s="1">
        <v>120.5</v>
      </c>
      <c r="F170" s="1">
        <v>127</v>
      </c>
      <c r="G170" s="1">
        <v>112</v>
      </c>
      <c r="H170" s="1"/>
      <c r="I170" s="1">
        <v>0.3125</v>
      </c>
      <c r="J170" s="1">
        <v>136</v>
      </c>
      <c r="K170" s="1">
        <v>99</v>
      </c>
      <c r="L170" s="1">
        <v>113.5</v>
      </c>
      <c r="M170" s="1">
        <v>117.5</v>
      </c>
      <c r="N170" s="1">
        <v>108.5</v>
      </c>
      <c r="O170" s="1">
        <v>104.5</v>
      </c>
    </row>
    <row r="171" spans="1:15">
      <c r="A171" s="1">
        <v>0.625</v>
      </c>
      <c r="B171" s="1">
        <v>105</v>
      </c>
      <c r="C171" s="1">
        <v>99.5</v>
      </c>
      <c r="D171" s="1">
        <v>99</v>
      </c>
      <c r="E171" s="1">
        <v>119</v>
      </c>
      <c r="F171" s="1">
        <v>107.5</v>
      </c>
      <c r="G171" s="1">
        <v>99</v>
      </c>
      <c r="H171" s="1"/>
      <c r="I171" s="1">
        <v>0.625</v>
      </c>
      <c r="J171" s="1">
        <v>134.5</v>
      </c>
      <c r="K171" s="1">
        <v>122.5</v>
      </c>
      <c r="L171" s="1">
        <v>138.5</v>
      </c>
      <c r="M171" s="1">
        <v>127</v>
      </c>
      <c r="N171" s="1">
        <v>128</v>
      </c>
      <c r="O171" s="1">
        <v>126.5</v>
      </c>
    </row>
    <row r="172" spans="1:15">
      <c r="A172" s="1">
        <v>1.25</v>
      </c>
      <c r="B172" s="1">
        <v>126</v>
      </c>
      <c r="C172" s="1">
        <v>115.5</v>
      </c>
      <c r="D172" s="1">
        <v>113</v>
      </c>
      <c r="E172" s="1">
        <v>114</v>
      </c>
      <c r="F172" s="1">
        <v>119</v>
      </c>
      <c r="G172" s="1">
        <v>104</v>
      </c>
      <c r="H172" s="1"/>
      <c r="I172" s="1">
        <v>1.25</v>
      </c>
      <c r="J172" s="1">
        <v>167.5</v>
      </c>
      <c r="K172" s="1">
        <v>125</v>
      </c>
      <c r="L172" s="1">
        <v>153</v>
      </c>
      <c r="M172" s="1">
        <v>151</v>
      </c>
      <c r="N172" s="1">
        <v>140</v>
      </c>
      <c r="O172" s="1">
        <v>135.5</v>
      </c>
    </row>
    <row r="173" spans="1:15">
      <c r="A173" s="1">
        <v>2.5</v>
      </c>
      <c r="B173" s="1">
        <v>142</v>
      </c>
      <c r="C173" s="1">
        <v>122.5</v>
      </c>
      <c r="D173" s="1">
        <v>125.5</v>
      </c>
      <c r="E173" s="1">
        <v>133</v>
      </c>
      <c r="F173" s="1">
        <v>130</v>
      </c>
      <c r="G173" s="1">
        <v>121.5</v>
      </c>
      <c r="H173" s="1"/>
      <c r="I173" s="1">
        <v>2.5</v>
      </c>
      <c r="J173" s="1">
        <v>154</v>
      </c>
      <c r="K173" s="1">
        <v>125.5</v>
      </c>
      <c r="L173" s="1">
        <v>162</v>
      </c>
      <c r="M173" s="1">
        <v>158</v>
      </c>
      <c r="N173" s="1">
        <v>127.5</v>
      </c>
      <c r="O173" s="1">
        <v>138.5</v>
      </c>
    </row>
    <row r="174" spans="1:15">
      <c r="A174" s="1">
        <v>5</v>
      </c>
      <c r="B174" s="1">
        <v>177</v>
      </c>
      <c r="C174" s="1">
        <v>135.5</v>
      </c>
      <c r="D174" s="1">
        <v>160</v>
      </c>
      <c r="E174" s="1">
        <v>165.5</v>
      </c>
      <c r="F174" s="1">
        <v>149</v>
      </c>
      <c r="G174" s="1">
        <v>127</v>
      </c>
      <c r="I174" s="1">
        <v>5</v>
      </c>
      <c r="J174" s="1">
        <v>182.5</v>
      </c>
      <c r="K174" s="1">
        <v>132.5</v>
      </c>
      <c r="L174" s="1">
        <v>170.5</v>
      </c>
      <c r="M174" s="1">
        <v>166</v>
      </c>
      <c r="N174" s="1">
        <v>152</v>
      </c>
      <c r="O174" s="1">
        <v>157.5</v>
      </c>
    </row>
    <row r="175" spans="1:15">
      <c r="A175" s="1">
        <v>10</v>
      </c>
      <c r="B175" s="1">
        <v>200.5</v>
      </c>
      <c r="C175" s="1">
        <v>128.5</v>
      </c>
      <c r="D175" s="1">
        <v>194</v>
      </c>
      <c r="E175" s="1">
        <v>160.5</v>
      </c>
      <c r="F175" s="1">
        <v>163</v>
      </c>
      <c r="G175" s="1">
        <v>163</v>
      </c>
      <c r="I175" s="1">
        <v>10</v>
      </c>
      <c r="J175" s="1">
        <v>208.5</v>
      </c>
      <c r="K175" s="1">
        <v>139</v>
      </c>
      <c r="L175" s="1">
        <v>232</v>
      </c>
      <c r="M175" s="1">
        <v>168.5</v>
      </c>
      <c r="N175" s="1">
        <v>192.5</v>
      </c>
      <c r="O175" s="1">
        <v>169</v>
      </c>
    </row>
    <row r="176" spans="1:15">
      <c r="A176" s="1">
        <v>20</v>
      </c>
      <c r="B176" s="1">
        <v>234.5</v>
      </c>
      <c r="C176" s="1">
        <v>144</v>
      </c>
      <c r="D176" s="1">
        <v>239.5</v>
      </c>
      <c r="E176" s="1">
        <v>209</v>
      </c>
      <c r="F176" s="1">
        <v>197</v>
      </c>
      <c r="G176" s="1">
        <v>195.5</v>
      </c>
      <c r="I176" s="1">
        <v>20</v>
      </c>
      <c r="J176" s="1">
        <v>280</v>
      </c>
      <c r="K176" s="1">
        <v>178</v>
      </c>
      <c r="L176" s="1">
        <v>290</v>
      </c>
      <c r="M176" s="1">
        <v>230</v>
      </c>
      <c r="N176" s="1">
        <v>237</v>
      </c>
      <c r="O176" s="1">
        <v>224</v>
      </c>
    </row>
    <row r="177" spans="1:15">
      <c r="A177" s="1">
        <v>40</v>
      </c>
      <c r="B177" s="1">
        <v>279</v>
      </c>
      <c r="C177" s="1">
        <v>181</v>
      </c>
      <c r="D177" s="1">
        <v>275</v>
      </c>
      <c r="E177" s="1">
        <v>250.5</v>
      </c>
      <c r="F177" s="1">
        <v>226</v>
      </c>
      <c r="G177" s="1">
        <v>235</v>
      </c>
      <c r="I177" s="1">
        <v>40</v>
      </c>
      <c r="J177" s="1">
        <v>336.5</v>
      </c>
      <c r="K177" s="1">
        <v>237.5</v>
      </c>
      <c r="L177" s="1">
        <v>323</v>
      </c>
      <c r="M177" s="1">
        <v>293</v>
      </c>
      <c r="N177" s="1">
        <v>296.5</v>
      </c>
      <c r="O177" s="1">
        <v>288.5</v>
      </c>
    </row>
    <row r="178" spans="1:15">
      <c r="A178" s="1">
        <v>80</v>
      </c>
      <c r="B178" s="1">
        <v>318</v>
      </c>
      <c r="C178" s="1">
        <v>244</v>
      </c>
      <c r="D178" s="1">
        <v>316</v>
      </c>
      <c r="E178" s="1">
        <v>279</v>
      </c>
      <c r="F178" s="1">
        <v>284.5</v>
      </c>
      <c r="G178" s="1">
        <v>268.5</v>
      </c>
      <c r="I178" s="1">
        <v>80</v>
      </c>
      <c r="J178" s="1">
        <v>337</v>
      </c>
      <c r="K178" s="1">
        <v>298</v>
      </c>
      <c r="L178" s="1">
        <v>335</v>
      </c>
      <c r="M178" s="1">
        <v>312.5</v>
      </c>
      <c r="N178" s="1">
        <v>309</v>
      </c>
      <c r="O178" s="1">
        <v>291</v>
      </c>
    </row>
    <row r="179" spans="1:15">
      <c r="A179" s="1">
        <v>160</v>
      </c>
      <c r="B179" s="1">
        <v>314.5</v>
      </c>
      <c r="C179" s="1">
        <v>308</v>
      </c>
      <c r="D179" s="1">
        <v>328</v>
      </c>
      <c r="E179" s="1">
        <v>303.5</v>
      </c>
      <c r="F179" s="1">
        <v>309</v>
      </c>
      <c r="G179" s="1">
        <v>296.5</v>
      </c>
      <c r="I179" s="1">
        <v>160</v>
      </c>
      <c r="J179" s="1">
        <v>324</v>
      </c>
      <c r="K179" s="1">
        <v>335.5</v>
      </c>
      <c r="L179" s="1">
        <v>312</v>
      </c>
      <c r="M179" s="1">
        <v>302.5</v>
      </c>
      <c r="N179" s="1">
        <v>305.5</v>
      </c>
      <c r="O179" s="1">
        <v>282.5</v>
      </c>
    </row>
    <row r="180" spans="1:15">
      <c r="A180" s="1">
        <v>320</v>
      </c>
      <c r="B180" s="1">
        <v>337.5</v>
      </c>
      <c r="C180" s="1">
        <v>345</v>
      </c>
      <c r="D180" s="1">
        <v>313</v>
      </c>
      <c r="E180" s="1">
        <v>325</v>
      </c>
      <c r="F180" s="1">
        <v>312.5</v>
      </c>
      <c r="G180" s="1">
        <v>305</v>
      </c>
      <c r="I180" s="1">
        <v>320</v>
      </c>
      <c r="J180" s="1">
        <v>331.5</v>
      </c>
      <c r="K180" s="1">
        <v>335</v>
      </c>
      <c r="L180" s="1">
        <v>318.5</v>
      </c>
      <c r="M180" s="1">
        <v>307.5</v>
      </c>
      <c r="N180" s="1">
        <v>306</v>
      </c>
      <c r="O180" s="1">
        <v>306.5</v>
      </c>
    </row>
    <row r="181" spans="1:15">
      <c r="A181" s="1" t="s">
        <v>155</v>
      </c>
      <c r="B181" s="1"/>
      <c r="C181" s="1"/>
      <c r="D181" s="1"/>
      <c r="E181" s="1"/>
      <c r="F181" s="1"/>
      <c r="G181" s="1"/>
    </row>
    <row r="182" spans="1:15">
      <c r="A182" s="1"/>
      <c r="B182" s="1" t="s">
        <v>46</v>
      </c>
      <c r="C182" s="1" t="s">
        <v>105</v>
      </c>
      <c r="D182" s="1" t="s">
        <v>106</v>
      </c>
      <c r="E182" s="1" t="s">
        <v>48</v>
      </c>
      <c r="F182" s="1" t="s">
        <v>113</v>
      </c>
      <c r="G182" s="1" t="s">
        <v>114</v>
      </c>
      <c r="I182" s="1"/>
      <c r="J182" s="1" t="s">
        <v>46</v>
      </c>
      <c r="K182" s="1" t="s">
        <v>105</v>
      </c>
      <c r="L182" s="1" t="s">
        <v>106</v>
      </c>
      <c r="M182" s="1" t="s">
        <v>48</v>
      </c>
      <c r="N182" s="1" t="s">
        <v>113</v>
      </c>
      <c r="O182" s="1" t="s">
        <v>114</v>
      </c>
    </row>
    <row r="183" spans="1:15">
      <c r="A183" s="1">
        <v>7.8125E-2</v>
      </c>
      <c r="B183" s="1">
        <v>48.5</v>
      </c>
      <c r="C183" s="1">
        <v>67</v>
      </c>
      <c r="D183" s="1">
        <v>59.5</v>
      </c>
      <c r="E183" s="1">
        <v>76.5</v>
      </c>
      <c r="F183" s="1">
        <v>65</v>
      </c>
      <c r="G183" s="1">
        <v>73</v>
      </c>
      <c r="I183" s="1">
        <v>7.8125E-2</v>
      </c>
      <c r="J183" s="1">
        <v>72.5</v>
      </c>
      <c r="K183" s="1">
        <v>68.5</v>
      </c>
      <c r="L183" s="1">
        <v>75</v>
      </c>
      <c r="M183" s="1">
        <v>102.5</v>
      </c>
      <c r="N183" s="1">
        <v>90.5</v>
      </c>
      <c r="O183" s="1">
        <v>89.5</v>
      </c>
    </row>
    <row r="184" spans="1:15">
      <c r="A184" s="1">
        <v>0.15625</v>
      </c>
      <c r="B184" s="1">
        <v>45.5</v>
      </c>
      <c r="C184" s="1">
        <v>52.5</v>
      </c>
      <c r="D184" s="1">
        <v>65.5</v>
      </c>
      <c r="E184" s="1">
        <v>81</v>
      </c>
      <c r="F184" s="1">
        <v>87</v>
      </c>
      <c r="G184" s="1">
        <v>74</v>
      </c>
      <c r="I184" s="1">
        <v>0.15625</v>
      </c>
      <c r="J184" s="1">
        <v>64.5</v>
      </c>
      <c r="K184" s="1">
        <v>69</v>
      </c>
      <c r="L184" s="1">
        <v>73.5</v>
      </c>
      <c r="M184" s="1">
        <v>82.5</v>
      </c>
      <c r="N184" s="1">
        <v>71</v>
      </c>
      <c r="O184" s="1">
        <v>71</v>
      </c>
    </row>
    <row r="185" spans="1:15">
      <c r="A185" s="1">
        <v>0.3125</v>
      </c>
      <c r="B185" s="1">
        <v>68.5</v>
      </c>
      <c r="C185" s="1">
        <v>81</v>
      </c>
      <c r="D185" s="1">
        <v>78.5</v>
      </c>
      <c r="E185" s="1">
        <v>98.5</v>
      </c>
      <c r="F185" s="1">
        <v>99</v>
      </c>
      <c r="G185" s="1">
        <v>93.5</v>
      </c>
      <c r="I185" s="1">
        <v>0.3125</v>
      </c>
      <c r="J185" s="1">
        <v>82.5</v>
      </c>
      <c r="K185" s="1">
        <v>72</v>
      </c>
      <c r="L185" s="1">
        <v>61.5</v>
      </c>
      <c r="M185" s="1">
        <v>84.5</v>
      </c>
      <c r="N185" s="1">
        <v>79.5</v>
      </c>
      <c r="O185" s="1">
        <v>85.5</v>
      </c>
    </row>
    <row r="186" spans="1:15">
      <c r="A186" s="1">
        <v>0.625</v>
      </c>
      <c r="B186" s="1">
        <v>87</v>
      </c>
      <c r="C186" s="1">
        <v>77.5</v>
      </c>
      <c r="D186" s="1">
        <v>88.5</v>
      </c>
      <c r="E186" s="1">
        <v>92</v>
      </c>
      <c r="F186" s="1">
        <v>95</v>
      </c>
      <c r="G186" s="1">
        <v>98.5</v>
      </c>
      <c r="I186" s="1">
        <v>0.625</v>
      </c>
      <c r="J186" s="1">
        <v>57.5</v>
      </c>
      <c r="K186" s="1">
        <v>53.5</v>
      </c>
      <c r="L186" s="1">
        <v>84</v>
      </c>
      <c r="M186" s="1">
        <v>75</v>
      </c>
      <c r="N186" s="1">
        <v>71.5</v>
      </c>
      <c r="O186" s="1">
        <v>85</v>
      </c>
    </row>
    <row r="187" spans="1:15">
      <c r="A187" s="1">
        <v>1.25</v>
      </c>
      <c r="B187" s="1">
        <v>60</v>
      </c>
      <c r="C187" s="1">
        <v>61.5</v>
      </c>
      <c r="D187" s="1">
        <v>70</v>
      </c>
      <c r="E187" s="1">
        <v>74</v>
      </c>
      <c r="F187" s="1">
        <v>86.5</v>
      </c>
      <c r="G187" s="1">
        <v>80</v>
      </c>
      <c r="I187" s="1">
        <v>1.25</v>
      </c>
      <c r="J187" s="1">
        <v>109.5</v>
      </c>
      <c r="K187" s="1">
        <v>80.5</v>
      </c>
      <c r="L187" s="1">
        <v>111.5</v>
      </c>
      <c r="M187" s="1">
        <v>104</v>
      </c>
      <c r="N187" s="1">
        <v>105.5</v>
      </c>
      <c r="O187" s="1">
        <v>112.5</v>
      </c>
    </row>
    <row r="188" spans="1:15">
      <c r="A188" s="1">
        <v>2.5</v>
      </c>
      <c r="B188" s="1">
        <v>67</v>
      </c>
      <c r="C188" s="1">
        <v>73.5</v>
      </c>
      <c r="D188" s="1">
        <v>85</v>
      </c>
      <c r="E188" s="1">
        <v>75</v>
      </c>
      <c r="F188" s="1">
        <v>90.5</v>
      </c>
      <c r="G188" s="1">
        <v>93</v>
      </c>
      <c r="I188" s="1">
        <v>2.5</v>
      </c>
      <c r="J188" s="1">
        <v>124.5</v>
      </c>
      <c r="K188" s="1">
        <v>88.5</v>
      </c>
      <c r="L188" s="1">
        <v>135.5</v>
      </c>
      <c r="M188" s="1">
        <v>110.5</v>
      </c>
      <c r="N188" s="1">
        <v>118</v>
      </c>
      <c r="O188" s="1">
        <v>116.5</v>
      </c>
    </row>
    <row r="189" spans="1:15">
      <c r="A189" s="1">
        <v>5</v>
      </c>
      <c r="B189" s="1">
        <v>102.5</v>
      </c>
      <c r="C189" s="1">
        <v>76</v>
      </c>
      <c r="D189" s="1">
        <v>137.5</v>
      </c>
      <c r="E189" s="1">
        <v>102.5</v>
      </c>
      <c r="F189" s="1">
        <v>107</v>
      </c>
      <c r="G189" s="1">
        <v>106.5</v>
      </c>
      <c r="I189" s="1">
        <v>5</v>
      </c>
      <c r="J189" s="1">
        <v>146.5</v>
      </c>
      <c r="K189" s="1">
        <v>98.5</v>
      </c>
      <c r="L189" s="1">
        <v>155</v>
      </c>
      <c r="M189" s="1">
        <v>138.5</v>
      </c>
      <c r="N189" s="1">
        <v>137</v>
      </c>
      <c r="O189" s="1">
        <v>126.5</v>
      </c>
    </row>
    <row r="190" spans="1:15">
      <c r="A190" s="1">
        <v>10</v>
      </c>
      <c r="B190" s="1">
        <v>151</v>
      </c>
      <c r="C190" s="1">
        <v>86.5</v>
      </c>
      <c r="D190" s="1">
        <v>162.5</v>
      </c>
      <c r="E190" s="1">
        <v>139</v>
      </c>
      <c r="F190" s="1">
        <v>151</v>
      </c>
      <c r="G190" s="1">
        <v>134</v>
      </c>
      <c r="I190" s="1">
        <v>10</v>
      </c>
      <c r="J190" s="1">
        <v>209.5</v>
      </c>
      <c r="K190" s="1">
        <v>115.5</v>
      </c>
      <c r="L190" s="1">
        <v>192.5</v>
      </c>
      <c r="M190" s="1">
        <v>157.5</v>
      </c>
      <c r="N190" s="1">
        <v>170.5</v>
      </c>
      <c r="O190" s="1">
        <v>163</v>
      </c>
    </row>
    <row r="191" spans="1:15">
      <c r="A191" s="1">
        <v>20</v>
      </c>
      <c r="B191" s="1">
        <v>202</v>
      </c>
      <c r="C191" s="1">
        <v>136.5</v>
      </c>
      <c r="D191" s="1">
        <v>215.5</v>
      </c>
      <c r="E191" s="1">
        <v>189</v>
      </c>
      <c r="F191" s="1">
        <v>197.5</v>
      </c>
      <c r="G191" s="1">
        <v>180</v>
      </c>
      <c r="I191" s="1">
        <v>20</v>
      </c>
      <c r="J191" s="1">
        <v>232.5</v>
      </c>
      <c r="K191" s="1">
        <v>157</v>
      </c>
      <c r="L191" s="1">
        <v>237.5</v>
      </c>
      <c r="M191" s="1">
        <v>193.5</v>
      </c>
      <c r="N191" s="1">
        <v>209.5</v>
      </c>
      <c r="O191" s="1">
        <v>205.5</v>
      </c>
    </row>
    <row r="192" spans="1:15">
      <c r="A192" s="1">
        <v>40</v>
      </c>
      <c r="B192" s="1">
        <v>260.5</v>
      </c>
      <c r="C192" s="1">
        <v>172.5</v>
      </c>
      <c r="D192" s="1">
        <v>269.5</v>
      </c>
      <c r="E192" s="1">
        <v>217.5</v>
      </c>
      <c r="F192" s="1">
        <v>223</v>
      </c>
      <c r="G192" s="1">
        <v>236.5</v>
      </c>
      <c r="I192" s="1">
        <v>40</v>
      </c>
      <c r="J192" s="1">
        <v>269</v>
      </c>
      <c r="K192" s="1">
        <v>206.5</v>
      </c>
      <c r="L192" s="1">
        <v>268.5</v>
      </c>
      <c r="M192" s="1">
        <v>234.5</v>
      </c>
      <c r="N192" s="1">
        <v>250</v>
      </c>
      <c r="O192" s="1">
        <v>243.5</v>
      </c>
    </row>
    <row r="193" spans="1:15">
      <c r="A193" s="1">
        <v>80</v>
      </c>
      <c r="B193" s="1">
        <v>273.5</v>
      </c>
      <c r="C193" s="1">
        <v>220</v>
      </c>
      <c r="D193" s="1">
        <v>270</v>
      </c>
      <c r="E193" s="1">
        <v>248.5</v>
      </c>
      <c r="F193" s="1">
        <v>264</v>
      </c>
      <c r="G193" s="1">
        <v>231</v>
      </c>
      <c r="I193" s="1">
        <v>80</v>
      </c>
      <c r="J193" s="1">
        <v>297</v>
      </c>
      <c r="K193" s="1">
        <v>263</v>
      </c>
      <c r="L193" s="1">
        <v>290</v>
      </c>
      <c r="M193" s="1">
        <v>257</v>
      </c>
      <c r="N193" s="1">
        <v>274</v>
      </c>
      <c r="O193" s="1">
        <v>260</v>
      </c>
    </row>
    <row r="194" spans="1:15">
      <c r="A194" s="1">
        <v>160</v>
      </c>
      <c r="B194" s="1">
        <v>286</v>
      </c>
      <c r="C194" s="1">
        <v>267</v>
      </c>
      <c r="D194" s="1">
        <v>280</v>
      </c>
      <c r="E194" s="1">
        <v>266.5</v>
      </c>
      <c r="F194" s="1">
        <v>267</v>
      </c>
      <c r="G194" s="1">
        <v>261.5</v>
      </c>
      <c r="I194" s="1">
        <v>160</v>
      </c>
      <c r="J194" s="1">
        <v>316.5</v>
      </c>
      <c r="K194" s="1">
        <v>321</v>
      </c>
      <c r="L194" s="1">
        <v>286</v>
      </c>
      <c r="M194" s="1">
        <v>267.5</v>
      </c>
      <c r="N194" s="1">
        <v>281.5</v>
      </c>
      <c r="O194" s="1">
        <v>274</v>
      </c>
    </row>
    <row r="195" spans="1:15">
      <c r="A195" s="1">
        <v>320</v>
      </c>
      <c r="B195" s="1">
        <v>297</v>
      </c>
      <c r="C195" s="1">
        <v>315.5</v>
      </c>
      <c r="D195" s="1">
        <v>291</v>
      </c>
      <c r="E195" s="1">
        <v>301.5</v>
      </c>
      <c r="F195" s="1">
        <v>286</v>
      </c>
      <c r="G195" s="1">
        <v>286.5</v>
      </c>
      <c r="I195" s="1">
        <v>320</v>
      </c>
      <c r="J195" s="1">
        <v>307.5</v>
      </c>
      <c r="K195" s="1">
        <v>332.5</v>
      </c>
      <c r="L195" s="1">
        <v>295</v>
      </c>
      <c r="M195" s="1">
        <v>273</v>
      </c>
      <c r="N195" s="1">
        <v>286.5</v>
      </c>
      <c r="O195" s="1">
        <v>289</v>
      </c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7" spans="1:15">
      <c r="A207" s="1"/>
      <c r="B207" s="1"/>
      <c r="C207" s="1"/>
      <c r="D207" s="1"/>
      <c r="E207" s="1"/>
      <c r="F207" s="1"/>
      <c r="G207" s="1"/>
    </row>
    <row r="208" spans="1:15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5D96-C54C-3241-8E35-8523E6960CDF}">
  <dimension ref="A2:AA140"/>
  <sheetViews>
    <sheetView zoomScale="101" workbookViewId="0">
      <selection activeCell="G82" sqref="G82"/>
    </sheetView>
  </sheetViews>
  <sheetFormatPr baseColWidth="10" defaultRowHeight="15"/>
  <cols>
    <col min="1" max="16384" width="10.83203125" style="10"/>
  </cols>
  <sheetData>
    <row r="2" spans="1:13">
      <c r="A2" s="14"/>
      <c r="B2" s="10" t="s">
        <v>90</v>
      </c>
      <c r="C2" s="10" t="s">
        <v>89</v>
      </c>
      <c r="D2" s="10" t="s">
        <v>88</v>
      </c>
      <c r="E2" s="10" t="s">
        <v>87</v>
      </c>
      <c r="F2" s="10" t="s">
        <v>86</v>
      </c>
      <c r="H2" s="14"/>
      <c r="I2" s="10" t="s">
        <v>90</v>
      </c>
      <c r="J2" s="10" t="s">
        <v>89</v>
      </c>
      <c r="K2" s="10" t="s">
        <v>88</v>
      </c>
      <c r="L2" s="10" t="s">
        <v>87</v>
      </c>
      <c r="M2" s="10" t="s">
        <v>86</v>
      </c>
    </row>
    <row r="3" spans="1:13">
      <c r="A3" s="10" t="s">
        <v>115</v>
      </c>
      <c r="H3" s="10" t="s">
        <v>117</v>
      </c>
    </row>
    <row r="4" spans="1:13" s="20" customFormat="1">
      <c r="A4" s="20" t="s">
        <v>116</v>
      </c>
      <c r="B4" s="20">
        <f t="shared" ref="B4:B16" si="0">B5/2</f>
        <v>6.25E-2</v>
      </c>
      <c r="C4" s="20">
        <v>-7</v>
      </c>
      <c r="D4" s="20">
        <f t="shared" ref="D4:D17" si="1" xml:space="preserve"> (B$20+B4+D$20-((B$20+B4+D$20)^2-4*D$20*B4)^0.5)*C$20/(2*D$20)</f>
        <v>0.46640916281528733</v>
      </c>
      <c r="E4" s="20">
        <f t="shared" ref="E4:E17" si="2">C4-D4</f>
        <v>-7.4664091628152871</v>
      </c>
      <c r="F4" s="20">
        <f t="shared" ref="F4:F17" si="3">E4*E4</f>
        <v>55.747265786572079</v>
      </c>
      <c r="H4" s="20" t="s">
        <v>116</v>
      </c>
      <c r="I4" s="20">
        <f t="shared" ref="I4:I16" si="4">I5/2</f>
        <v>6.25E-2</v>
      </c>
      <c r="J4" s="20">
        <v>-2.3333333333333357</v>
      </c>
      <c r="K4" s="20">
        <f t="shared" ref="K4:K17" si="5" xml:space="preserve"> (I$20+I4+K$20-((I$20+I4+K$20)^2-4*K$20*I4)^0.5)*J$20/(2*K$20)</f>
        <v>0.10259380470300548</v>
      </c>
      <c r="L4" s="20">
        <f t="shared" ref="L4:L17" si="6">J4-K4</f>
        <v>-2.435927138036341</v>
      </c>
      <c r="M4" s="20">
        <f t="shared" ref="M4:M17" si="7">L4*L4</f>
        <v>5.9337410218219189</v>
      </c>
    </row>
    <row r="5" spans="1:13" s="20" customFormat="1">
      <c r="B5" s="20">
        <f t="shared" si="0"/>
        <v>0.125</v>
      </c>
      <c r="C5" s="20">
        <v>9</v>
      </c>
      <c r="D5" s="20">
        <f t="shared" si="1"/>
        <v>0.93050666227594236</v>
      </c>
      <c r="E5" s="20">
        <f t="shared" si="2"/>
        <v>8.0694933377240581</v>
      </c>
      <c r="F5" s="20">
        <f t="shared" si="3"/>
        <v>65.116722727572963</v>
      </c>
      <c r="I5" s="20">
        <f t="shared" si="4"/>
        <v>0.125</v>
      </c>
      <c r="J5" s="20">
        <v>-0.3333333333333357</v>
      </c>
      <c r="K5" s="20">
        <f t="shared" si="5"/>
        <v>0.20505735201270237</v>
      </c>
      <c r="L5" s="20">
        <f t="shared" si="6"/>
        <v>-0.53839068534603807</v>
      </c>
      <c r="M5" s="20">
        <f t="shared" si="7"/>
        <v>0.28986453006737656</v>
      </c>
    </row>
    <row r="6" spans="1:13" s="20" customFormat="1">
      <c r="B6" s="20">
        <f t="shared" si="0"/>
        <v>0.25</v>
      </c>
      <c r="C6" s="20">
        <v>3.6666666666666714</v>
      </c>
      <c r="D6" s="20">
        <f t="shared" si="1"/>
        <v>1.8518321674496443</v>
      </c>
      <c r="E6" s="20">
        <f t="shared" si="2"/>
        <v>1.8148344992170271</v>
      </c>
      <c r="F6" s="20">
        <f t="shared" si="3"/>
        <v>3.2936242595483174</v>
      </c>
      <c r="I6" s="20">
        <f t="shared" si="4"/>
        <v>0.25</v>
      </c>
      <c r="J6" s="20">
        <v>3</v>
      </c>
      <c r="K6" s="20">
        <f t="shared" si="5"/>
        <v>0.40959465523441257</v>
      </c>
      <c r="L6" s="20">
        <f t="shared" si="6"/>
        <v>2.5904053447655873</v>
      </c>
      <c r="M6" s="20">
        <f t="shared" si="7"/>
        <v>6.7101998501901212</v>
      </c>
    </row>
    <row r="7" spans="1:13">
      <c r="B7" s="10">
        <f t="shared" si="0"/>
        <v>0.5</v>
      </c>
      <c r="C7" s="10">
        <v>12.5</v>
      </c>
      <c r="D7" s="10">
        <f t="shared" si="1"/>
        <v>3.6674554889011799</v>
      </c>
      <c r="E7" s="10">
        <f t="shared" si="2"/>
        <v>8.8325445110988205</v>
      </c>
      <c r="F7" s="10">
        <f t="shared" si="3"/>
        <v>78.013842540541901</v>
      </c>
      <c r="I7" s="10">
        <f t="shared" si="4"/>
        <v>0.5</v>
      </c>
      <c r="J7" s="10">
        <v>5.4444666666666706</v>
      </c>
      <c r="K7" s="10">
        <f t="shared" si="5"/>
        <v>0.81711692757923848</v>
      </c>
      <c r="L7" s="10">
        <f t="shared" si="6"/>
        <v>4.6273497390874319</v>
      </c>
      <c r="M7" s="10">
        <f t="shared" si="7"/>
        <v>21.412365607832523</v>
      </c>
    </row>
    <row r="8" spans="1:13">
      <c r="B8" s="10">
        <f t="shared" si="0"/>
        <v>1</v>
      </c>
      <c r="C8" s="10">
        <v>8</v>
      </c>
      <c r="D8" s="10">
        <f t="shared" si="1"/>
        <v>7.1940749355054905</v>
      </c>
      <c r="E8" s="10">
        <f t="shared" si="2"/>
        <v>0.80592506449450951</v>
      </c>
      <c r="F8" s="10">
        <f t="shared" si="3"/>
        <v>0.64951520958047937</v>
      </c>
      <c r="I8" s="10">
        <f t="shared" si="4"/>
        <v>1</v>
      </c>
      <c r="J8" s="10">
        <v>-3.2222000000000008</v>
      </c>
      <c r="K8" s="10">
        <f t="shared" si="5"/>
        <v>1.626006282519765</v>
      </c>
      <c r="L8" s="10">
        <f t="shared" si="6"/>
        <v>-4.848206282519766</v>
      </c>
      <c r="M8" s="10">
        <f t="shared" si="7"/>
        <v>23.505104157864128</v>
      </c>
    </row>
    <row r="9" spans="1:13">
      <c r="B9" s="10">
        <f t="shared" si="0"/>
        <v>2</v>
      </c>
      <c r="C9" s="10">
        <v>24.333333333333329</v>
      </c>
      <c r="D9" s="10">
        <f t="shared" si="1"/>
        <v>13.854892997169268</v>
      </c>
      <c r="E9" s="10">
        <f t="shared" si="2"/>
        <v>10.478440336164061</v>
      </c>
      <c r="F9" s="10">
        <f t="shared" si="3"/>
        <v>109.79771187855</v>
      </c>
      <c r="I9" s="10">
        <f t="shared" si="4"/>
        <v>2</v>
      </c>
      <c r="J9" s="10">
        <v>-2.2222000000000008</v>
      </c>
      <c r="K9" s="10">
        <f t="shared" si="5"/>
        <v>3.2195894737298349</v>
      </c>
      <c r="L9" s="10">
        <f t="shared" si="6"/>
        <v>-5.4417894737298358</v>
      </c>
      <c r="M9" s="10">
        <f t="shared" si="7"/>
        <v>29.613072676396843</v>
      </c>
    </row>
    <row r="10" spans="1:13">
      <c r="B10" s="10">
        <f t="shared" si="0"/>
        <v>4</v>
      </c>
      <c r="C10" s="10">
        <v>25.333333333333329</v>
      </c>
      <c r="D10" s="10">
        <f t="shared" si="1"/>
        <v>25.790440214458993</v>
      </c>
      <c r="E10" s="10">
        <f t="shared" si="2"/>
        <v>-0.45710688112566444</v>
      </c>
      <c r="F10" s="10">
        <f t="shared" si="3"/>
        <v>0.20894670077243233</v>
      </c>
      <c r="I10" s="10">
        <f t="shared" si="4"/>
        <v>4</v>
      </c>
      <c r="J10" s="10">
        <v>9.7777999999999992</v>
      </c>
      <c r="K10" s="10">
        <f t="shared" si="5"/>
        <v>6.3132534425612912</v>
      </c>
      <c r="L10" s="10">
        <f t="shared" si="6"/>
        <v>3.464546557438708</v>
      </c>
      <c r="M10" s="10">
        <f t="shared" si="7"/>
        <v>12.003082848660403</v>
      </c>
    </row>
    <row r="11" spans="1:13">
      <c r="B11" s="10">
        <f t="shared" si="0"/>
        <v>8</v>
      </c>
      <c r="C11" s="10">
        <v>44</v>
      </c>
      <c r="D11" s="10">
        <f t="shared" si="1"/>
        <v>45.269977146507536</v>
      </c>
      <c r="E11" s="10">
        <f t="shared" si="2"/>
        <v>-1.2699771465075358</v>
      </c>
      <c r="F11" s="10">
        <f t="shared" si="3"/>
        <v>1.612841952651423</v>
      </c>
      <c r="I11" s="10">
        <f t="shared" si="4"/>
        <v>8</v>
      </c>
      <c r="J11" s="10">
        <v>22.111133333333328</v>
      </c>
      <c r="K11" s="10">
        <f t="shared" si="5"/>
        <v>12.15099145061753</v>
      </c>
      <c r="L11" s="10">
        <f t="shared" si="6"/>
        <v>9.9601418827157975</v>
      </c>
      <c r="M11" s="10">
        <f t="shared" si="7"/>
        <v>99.204426323829395</v>
      </c>
    </row>
    <row r="12" spans="1:13">
      <c r="B12" s="10">
        <f t="shared" si="0"/>
        <v>16</v>
      </c>
      <c r="C12" s="10">
        <v>62.666666666666657</v>
      </c>
      <c r="D12" s="10">
        <f t="shared" si="1"/>
        <v>72.622142484553038</v>
      </c>
      <c r="E12" s="10">
        <f t="shared" si="2"/>
        <v>-9.9554758178863807</v>
      </c>
      <c r="F12" s="10">
        <f t="shared" si="3"/>
        <v>99.111498760520504</v>
      </c>
      <c r="I12" s="10">
        <f t="shared" si="4"/>
        <v>16</v>
      </c>
      <c r="J12" s="10">
        <v>21.777799999999999</v>
      </c>
      <c r="K12" s="10">
        <f t="shared" si="5"/>
        <v>22.598230116651372</v>
      </c>
      <c r="L12" s="10">
        <f t="shared" si="6"/>
        <v>-0.820430116651373</v>
      </c>
      <c r="M12" s="10">
        <f t="shared" si="7"/>
        <v>0.67310557630858547</v>
      </c>
    </row>
    <row r="13" spans="1:13">
      <c r="B13" s="10">
        <f t="shared" si="0"/>
        <v>32</v>
      </c>
      <c r="C13" s="10">
        <v>102.33333333333334</v>
      </c>
      <c r="D13" s="10">
        <f t="shared" si="1"/>
        <v>103.81316932268449</v>
      </c>
      <c r="E13" s="10">
        <f t="shared" si="2"/>
        <v>-1.4798359893511446</v>
      </c>
      <c r="F13" s="10">
        <f t="shared" si="3"/>
        <v>2.189914555378881</v>
      </c>
      <c r="I13" s="10">
        <f t="shared" si="4"/>
        <v>32</v>
      </c>
      <c r="J13" s="10">
        <v>39.777799999999999</v>
      </c>
      <c r="K13" s="10">
        <f t="shared" si="5"/>
        <v>39.631118876051822</v>
      </c>
      <c r="L13" s="10">
        <f t="shared" si="6"/>
        <v>0.14668112394817712</v>
      </c>
      <c r="M13" s="10">
        <f t="shared" si="7"/>
        <v>2.1515352122700497E-2</v>
      </c>
    </row>
    <row r="14" spans="1:13">
      <c r="B14" s="10">
        <f t="shared" si="0"/>
        <v>64</v>
      </c>
      <c r="C14" s="10">
        <v>141</v>
      </c>
      <c r="D14" s="10">
        <f t="shared" si="1"/>
        <v>131.91544555387279</v>
      </c>
      <c r="E14" s="10">
        <f t="shared" si="2"/>
        <v>9.0845544461272141</v>
      </c>
      <c r="F14" s="10">
        <f t="shared" si="3"/>
        <v>82.529129484649729</v>
      </c>
      <c r="I14" s="10">
        <f t="shared" si="4"/>
        <v>64</v>
      </c>
      <c r="J14" s="10">
        <v>59.111133333333342</v>
      </c>
      <c r="K14" s="10">
        <f t="shared" si="5"/>
        <v>63.574374385592563</v>
      </c>
      <c r="L14" s="10">
        <f t="shared" si="6"/>
        <v>-4.463241052259221</v>
      </c>
      <c r="M14" s="10">
        <f t="shared" si="7"/>
        <v>19.920520690571998</v>
      </c>
    </row>
    <row r="15" spans="1:13">
      <c r="B15" s="10">
        <f t="shared" si="0"/>
        <v>128</v>
      </c>
      <c r="C15" s="10">
        <v>158.33333333333334</v>
      </c>
      <c r="D15" s="10">
        <f t="shared" si="1"/>
        <v>152.36476166150871</v>
      </c>
      <c r="E15" s="10">
        <f t="shared" si="2"/>
        <v>5.968571671824634</v>
      </c>
      <c r="F15" s="10">
        <f t="shared" si="3"/>
        <v>35.623847801707505</v>
      </c>
      <c r="I15" s="10">
        <f t="shared" si="4"/>
        <v>128</v>
      </c>
      <c r="J15" s="10">
        <v>90.777799999999999</v>
      </c>
      <c r="K15" s="10">
        <f t="shared" si="5"/>
        <v>91.038963637291971</v>
      </c>
      <c r="L15" s="10">
        <f t="shared" si="6"/>
        <v>-0.2611636372919719</v>
      </c>
      <c r="M15" s="10">
        <f t="shared" si="7"/>
        <v>6.8206445443572655E-2</v>
      </c>
    </row>
    <row r="16" spans="1:13">
      <c r="B16" s="10">
        <f t="shared" si="0"/>
        <v>256</v>
      </c>
      <c r="C16" s="10">
        <v>161.33333333333334</v>
      </c>
      <c r="D16" s="10">
        <f t="shared" si="1"/>
        <v>165.07403206166438</v>
      </c>
      <c r="E16" s="10">
        <f t="shared" si="2"/>
        <v>-3.74069872833104</v>
      </c>
      <c r="F16" s="10">
        <f t="shared" si="3"/>
        <v>13.99282697613746</v>
      </c>
      <c r="I16" s="10">
        <f t="shared" si="4"/>
        <v>256</v>
      </c>
      <c r="J16" s="10">
        <v>119.7778</v>
      </c>
      <c r="K16" s="10">
        <f t="shared" si="5"/>
        <v>116.06004392876763</v>
      </c>
      <c r="L16" s="10">
        <f t="shared" si="6"/>
        <v>3.7177560712323725</v>
      </c>
      <c r="M16" s="10">
        <f t="shared" si="7"/>
        <v>13.821710205185166</v>
      </c>
    </row>
    <row r="17" spans="1:27">
      <c r="B17" s="10">
        <v>512</v>
      </c>
      <c r="C17" s="10">
        <v>168</v>
      </c>
      <c r="D17" s="10">
        <f t="shared" si="1"/>
        <v>172.22569485943777</v>
      </c>
      <c r="E17" s="10">
        <f t="shared" si="2"/>
        <v>-4.2256948594377661</v>
      </c>
      <c r="F17" s="10">
        <f t="shared" si="3"/>
        <v>17.856497045078761</v>
      </c>
      <c r="I17" s="10">
        <v>512</v>
      </c>
      <c r="J17" s="10">
        <v>132.77780000000001</v>
      </c>
      <c r="K17" s="10">
        <f t="shared" si="5"/>
        <v>134.50612377776096</v>
      </c>
      <c r="L17" s="10">
        <f t="shared" si="6"/>
        <v>-1.7283237777609486</v>
      </c>
      <c r="M17" s="10">
        <f t="shared" si="7"/>
        <v>2.9871030807738768</v>
      </c>
    </row>
    <row r="19" spans="1:27" ht="16">
      <c r="B19" s="10" t="s">
        <v>82</v>
      </c>
      <c r="C19" s="12" t="s">
        <v>81</v>
      </c>
      <c r="D19" s="12" t="s">
        <v>80</v>
      </c>
      <c r="E19" s="12"/>
      <c r="F19" s="10" t="s">
        <v>79</v>
      </c>
      <c r="I19" s="10" t="s">
        <v>82</v>
      </c>
      <c r="J19" s="12" t="s">
        <v>81</v>
      </c>
      <c r="K19" s="12" t="s">
        <v>80</v>
      </c>
      <c r="L19" s="12"/>
      <c r="M19" s="10" t="s">
        <v>79</v>
      </c>
    </row>
    <row r="20" spans="1:27" ht="16">
      <c r="B20" s="13">
        <v>23.06016256682198</v>
      </c>
      <c r="C20" s="12">
        <v>179.99715666987049</v>
      </c>
      <c r="D20" s="12">
        <v>1</v>
      </c>
      <c r="E20" s="12"/>
      <c r="F20" s="11">
        <f>SUM(F7:F17)</f>
        <v>441.58657290556908</v>
      </c>
      <c r="I20" s="13">
        <v>96.319518975301904</v>
      </c>
      <c r="J20" s="12">
        <v>159.85161585656533</v>
      </c>
      <c r="K20" s="12">
        <v>1</v>
      </c>
      <c r="L20" s="12"/>
      <c r="M20" s="11">
        <f>SUM(M7:M18)</f>
        <v>223.23021296498916</v>
      </c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28"/>
      <c r="B22" s="1" t="s">
        <v>90</v>
      </c>
      <c r="C22" s="1" t="s">
        <v>89</v>
      </c>
      <c r="D22" s="1" t="s">
        <v>88</v>
      </c>
      <c r="E22" s="1" t="s">
        <v>87</v>
      </c>
      <c r="F22" s="1" t="s">
        <v>86</v>
      </c>
      <c r="G22" s="1"/>
      <c r="H22" s="29"/>
      <c r="I22" s="30" t="s">
        <v>90</v>
      </c>
      <c r="J22" s="30" t="s">
        <v>89</v>
      </c>
      <c r="K22" s="30" t="s">
        <v>88</v>
      </c>
      <c r="L22" s="30" t="s">
        <v>87</v>
      </c>
      <c r="M22" s="30" t="s">
        <v>86</v>
      </c>
      <c r="N22" s="1"/>
      <c r="O22" s="28"/>
      <c r="P22" s="1" t="s">
        <v>90</v>
      </c>
      <c r="Q22" s="1" t="s">
        <v>89</v>
      </c>
      <c r="R22" s="1" t="s">
        <v>88</v>
      </c>
      <c r="S22" s="1" t="s">
        <v>87</v>
      </c>
      <c r="T22" s="1" t="s">
        <v>86</v>
      </c>
      <c r="U22" s="1"/>
      <c r="V22" s="26"/>
      <c r="W22" s="1" t="s">
        <v>90</v>
      </c>
      <c r="X22" s="1" t="s">
        <v>89</v>
      </c>
      <c r="Y22" s="1" t="s">
        <v>88</v>
      </c>
      <c r="Z22" s="1" t="s">
        <v>87</v>
      </c>
      <c r="AA22" s="1" t="s">
        <v>86</v>
      </c>
    </row>
    <row r="23" spans="1:27">
      <c r="A23" s="21" t="s">
        <v>120</v>
      </c>
      <c r="B23" s="1"/>
      <c r="C23" s="1"/>
      <c r="D23" s="1"/>
      <c r="E23" s="1"/>
      <c r="F23" s="1"/>
      <c r="G23" s="1"/>
      <c r="H23" s="31" t="s">
        <v>118</v>
      </c>
      <c r="I23" s="30"/>
      <c r="J23" s="30"/>
      <c r="K23" s="30"/>
      <c r="L23" s="30"/>
      <c r="M23" s="30"/>
      <c r="N23" s="1"/>
      <c r="O23" s="21" t="s">
        <v>119</v>
      </c>
      <c r="P23" s="1"/>
      <c r="Q23" s="1"/>
      <c r="R23" s="1"/>
      <c r="S23" s="1"/>
      <c r="T23" s="1"/>
      <c r="U23" s="1"/>
      <c r="V23" s="21" t="s">
        <v>121</v>
      </c>
      <c r="W23" s="1"/>
      <c r="X23" s="1"/>
      <c r="Y23" s="1"/>
      <c r="Z23" s="1"/>
      <c r="AA23" s="1"/>
    </row>
    <row r="24" spans="1:27">
      <c r="A24" s="1" t="s">
        <v>46</v>
      </c>
      <c r="B24" s="1">
        <f t="shared" ref="B24:B36" si="8">B25/2</f>
        <v>3.90625E-2</v>
      </c>
      <c r="C24" s="1">
        <v>-2</v>
      </c>
      <c r="D24" s="1">
        <f t="shared" ref="D24:D37" si="9" xml:space="preserve"> (B$40+B24+D$40-((B$40+B24+D$40)^2-4*D$40*B24)^0.5)*C$40/(2*D$40)</f>
        <v>9.1719244064584232E-2</v>
      </c>
      <c r="E24" s="1">
        <f>C24-D24</f>
        <v>-2.0917192440645844</v>
      </c>
      <c r="F24" s="1"/>
      <c r="G24" s="1"/>
      <c r="H24" s="30" t="s">
        <v>46</v>
      </c>
      <c r="I24" s="30">
        <v>3.9059999999999997E-2</v>
      </c>
      <c r="J24" s="30">
        <v>-2</v>
      </c>
      <c r="K24" s="30">
        <v>0.26921</v>
      </c>
      <c r="L24" s="30">
        <v>-2.2692000000000001</v>
      </c>
      <c r="M24" s="30"/>
      <c r="N24" s="1"/>
      <c r="O24" s="1" t="s">
        <v>46</v>
      </c>
      <c r="P24" s="1">
        <f t="shared" ref="P24:P36" si="10">P25/2</f>
        <v>3.90625E-2</v>
      </c>
      <c r="Q24" s="1">
        <v>-2</v>
      </c>
      <c r="R24" s="1">
        <f t="shared" ref="R24:R37" si="11" xml:space="preserve"> (P$40+P24+R$40-((P$40+P24+R$40)^2-4*R$40*P24)^0.5)*Q$40/(2*R$40)</f>
        <v>0.29378929282083377</v>
      </c>
      <c r="S24" s="1">
        <f>Q24-R24</f>
        <v>-2.2937892928208337</v>
      </c>
      <c r="T24" s="1"/>
      <c r="U24" s="1"/>
      <c r="V24" s="1" t="s">
        <v>46</v>
      </c>
      <c r="W24" s="1">
        <v>3.9059999999999997E-2</v>
      </c>
      <c r="X24" s="1">
        <v>-2</v>
      </c>
      <c r="Y24" s="1">
        <v>0.24027999999999999</v>
      </c>
      <c r="Z24" s="1">
        <v>-2.2402799999999998</v>
      </c>
      <c r="AA24" s="1"/>
    </row>
    <row r="25" spans="1:27" ht="16">
      <c r="A25" s="1" t="s">
        <v>92</v>
      </c>
      <c r="B25" s="1">
        <f t="shared" si="8"/>
        <v>7.8125E-2</v>
      </c>
      <c r="C25" s="22">
        <v>56.5</v>
      </c>
      <c r="D25" s="1">
        <f t="shared" si="9"/>
        <v>0.18335075987466573</v>
      </c>
      <c r="E25" s="1">
        <f t="shared" ref="E25:E37" si="12">(C25-A$40)-D25</f>
        <v>-5.999032797419348</v>
      </c>
      <c r="F25" s="1">
        <f t="shared" ref="F25:F37" si="13">E25*E25</f>
        <v>35.98839450451301</v>
      </c>
      <c r="G25" s="1"/>
      <c r="H25" s="30" t="s">
        <v>92</v>
      </c>
      <c r="I25" s="30">
        <v>7.8130000000000005E-2</v>
      </c>
      <c r="J25" s="32">
        <v>98</v>
      </c>
      <c r="K25" s="30">
        <v>0.53766999999999998</v>
      </c>
      <c r="L25" s="30">
        <v>-9.4533000000000005</v>
      </c>
      <c r="M25" s="30">
        <v>89.365099999999998</v>
      </c>
      <c r="N25" s="1"/>
      <c r="O25" s="1" t="s">
        <v>92</v>
      </c>
      <c r="P25" s="1">
        <f t="shared" si="10"/>
        <v>7.8125E-2</v>
      </c>
      <c r="Q25" s="22">
        <v>54</v>
      </c>
      <c r="R25" s="1">
        <f t="shared" si="11"/>
        <v>0.58692380395203081</v>
      </c>
      <c r="S25" s="1">
        <f t="shared" ref="S25:S37" si="14">(Q25-O$40)-R25</f>
        <v>-0.27866329569407178</v>
      </c>
      <c r="T25" s="1">
        <f t="shared" ref="T25:T37" si="15">S25*S25</f>
        <v>7.7653232367081687E-2</v>
      </c>
      <c r="U25" s="1"/>
      <c r="V25" s="1" t="s">
        <v>92</v>
      </c>
      <c r="W25" s="1">
        <v>7.8130000000000005E-2</v>
      </c>
      <c r="X25" s="25">
        <v>62.5</v>
      </c>
      <c r="Y25" s="1">
        <v>0.48008000000000001</v>
      </c>
      <c r="Z25" s="1">
        <v>0.67603999999999997</v>
      </c>
      <c r="AA25" s="1">
        <v>0.45702999999999999</v>
      </c>
    </row>
    <row r="26" spans="1:27" ht="16">
      <c r="A26" s="1"/>
      <c r="B26" s="1">
        <f t="shared" si="8"/>
        <v>0.15625</v>
      </c>
      <c r="C26" s="22">
        <v>59</v>
      </c>
      <c r="D26" s="1">
        <f t="shared" si="9"/>
        <v>0.36635110342406157</v>
      </c>
      <c r="E26" s="1">
        <f t="shared" si="12"/>
        <v>-3.6820331409687443</v>
      </c>
      <c r="F26" s="1">
        <f t="shared" si="13"/>
        <v>13.557368051192157</v>
      </c>
      <c r="G26" s="1"/>
      <c r="H26" s="30"/>
      <c r="I26" s="30">
        <v>0.15625</v>
      </c>
      <c r="J26" s="32">
        <v>105</v>
      </c>
      <c r="K26" s="30">
        <v>1.07237</v>
      </c>
      <c r="L26" s="30">
        <v>-2.988</v>
      </c>
      <c r="M26" s="30">
        <v>8.9281600000000001</v>
      </c>
      <c r="N26" s="1"/>
      <c r="O26" s="1"/>
      <c r="P26" s="1">
        <f t="shared" si="10"/>
        <v>0.15625</v>
      </c>
      <c r="Q26" s="22">
        <v>69.5</v>
      </c>
      <c r="R26" s="1">
        <f t="shared" si="11"/>
        <v>1.1712369549157562</v>
      </c>
      <c r="S26" s="1">
        <f t="shared" si="14"/>
        <v>14.637023553342203</v>
      </c>
      <c r="T26" s="1">
        <f t="shared" si="15"/>
        <v>214.24245850109443</v>
      </c>
      <c r="U26" s="1"/>
      <c r="V26" s="1"/>
      <c r="W26" s="1">
        <v>0.15625</v>
      </c>
      <c r="X26" s="25">
        <v>65</v>
      </c>
      <c r="Y26" s="1">
        <v>0.95823999999999998</v>
      </c>
      <c r="Z26" s="1">
        <v>2.6978800000000001</v>
      </c>
      <c r="AA26" s="1">
        <v>7.2785500000000001</v>
      </c>
    </row>
    <row r="27" spans="1:27" ht="16">
      <c r="A27" s="1"/>
      <c r="B27" s="1">
        <f t="shared" si="8"/>
        <v>0.3125</v>
      </c>
      <c r="C27" s="22">
        <v>59.5</v>
      </c>
      <c r="D27" s="1">
        <f t="shared" si="9"/>
        <v>0.73130450212954778</v>
      </c>
      <c r="E27" s="1">
        <f t="shared" si="12"/>
        <v>-3.5469865396742306</v>
      </c>
      <c r="F27" s="1">
        <f t="shared" si="13"/>
        <v>12.581113512630173</v>
      </c>
      <c r="G27" s="1"/>
      <c r="H27" s="30"/>
      <c r="I27" s="30">
        <v>0.3125</v>
      </c>
      <c r="J27" s="32">
        <v>113.5</v>
      </c>
      <c r="K27" s="30">
        <v>2.1328999999999998</v>
      </c>
      <c r="L27" s="30">
        <v>4.45146</v>
      </c>
      <c r="M27" s="30">
        <v>19.8155</v>
      </c>
      <c r="N27" s="1"/>
      <c r="O27" s="1"/>
      <c r="P27" s="1">
        <f t="shared" si="10"/>
        <v>0.3125</v>
      </c>
      <c r="Q27" s="22">
        <v>39.5</v>
      </c>
      <c r="R27" s="1">
        <f t="shared" si="11"/>
        <v>2.3320985946091364</v>
      </c>
      <c r="S27" s="1">
        <f t="shared" si="14"/>
        <v>-16.523838086351176</v>
      </c>
      <c r="T27" s="1">
        <f t="shared" si="15"/>
        <v>273.03722510394971</v>
      </c>
      <c r="U27" s="1"/>
      <c r="V27" s="1"/>
      <c r="W27" s="1">
        <v>0.3125</v>
      </c>
      <c r="X27" s="25">
        <v>61.5</v>
      </c>
      <c r="Y27" s="1">
        <v>1.9088700000000001</v>
      </c>
      <c r="Z27" s="1">
        <v>-1.75275</v>
      </c>
      <c r="AA27" s="1">
        <v>3.07212</v>
      </c>
    </row>
    <row r="28" spans="1:27" ht="16">
      <c r="A28" s="1"/>
      <c r="B28" s="1">
        <f t="shared" si="8"/>
        <v>0.625</v>
      </c>
      <c r="C28" s="22">
        <v>72.5</v>
      </c>
      <c r="D28" s="1">
        <f t="shared" si="9"/>
        <v>1.4570496645423083</v>
      </c>
      <c r="E28" s="1">
        <f t="shared" si="12"/>
        <v>8.7272682979130085</v>
      </c>
      <c r="F28" s="1">
        <f t="shared" si="13"/>
        <v>76.165211943757427</v>
      </c>
      <c r="G28" s="1"/>
      <c r="H28" s="30"/>
      <c r="I28" s="30">
        <v>0.625</v>
      </c>
      <c r="J28" s="32">
        <v>122.5</v>
      </c>
      <c r="K28" s="30">
        <v>4.2192400000000001</v>
      </c>
      <c r="L28" s="30">
        <v>11.3651</v>
      </c>
      <c r="M28" s="30">
        <v>129.166</v>
      </c>
      <c r="N28" s="1"/>
      <c r="O28" s="1"/>
      <c r="P28" s="1">
        <f t="shared" si="10"/>
        <v>0.625</v>
      </c>
      <c r="Q28" s="22">
        <v>60</v>
      </c>
      <c r="R28" s="1">
        <f t="shared" si="11"/>
        <v>4.6232265256898444</v>
      </c>
      <c r="S28" s="1">
        <f t="shared" si="14"/>
        <v>1.6850339825681147</v>
      </c>
      <c r="T28" s="1">
        <f t="shared" si="15"/>
        <v>2.8393395224093614</v>
      </c>
      <c r="U28" s="1"/>
      <c r="V28" s="1"/>
      <c r="W28" s="1">
        <v>0.625</v>
      </c>
      <c r="X28" s="25">
        <v>67</v>
      </c>
      <c r="Y28" s="1">
        <v>3.78762</v>
      </c>
      <c r="Z28" s="1">
        <v>1.8685</v>
      </c>
      <c r="AA28" s="1">
        <v>3.4913099999999999</v>
      </c>
    </row>
    <row r="29" spans="1:27">
      <c r="A29" s="1"/>
      <c r="B29" s="1">
        <f t="shared" si="8"/>
        <v>1.25</v>
      </c>
      <c r="C29" s="33">
        <v>66</v>
      </c>
      <c r="D29" s="1">
        <f t="shared" si="9"/>
        <v>2.8921105606755448</v>
      </c>
      <c r="E29" s="1">
        <f t="shared" si="12"/>
        <v>0.79220740177977245</v>
      </c>
      <c r="F29" s="1">
        <f t="shared" si="13"/>
        <v>0.62759256743465786</v>
      </c>
      <c r="G29" s="1"/>
      <c r="H29" s="30"/>
      <c r="I29" s="30">
        <v>1.25</v>
      </c>
      <c r="J29" s="34">
        <v>112.5</v>
      </c>
      <c r="K29" s="30">
        <v>8.2579799999999999</v>
      </c>
      <c r="L29" s="30">
        <v>-2.6736</v>
      </c>
      <c r="M29" s="30">
        <v>7.1482299999999999</v>
      </c>
      <c r="N29" s="1"/>
      <c r="O29" s="1"/>
      <c r="P29" s="1">
        <f t="shared" si="10"/>
        <v>1.25</v>
      </c>
      <c r="Q29" s="1">
        <v>57.5</v>
      </c>
      <c r="R29" s="1">
        <f t="shared" si="11"/>
        <v>9.0866944157051481</v>
      </c>
      <c r="S29" s="1">
        <f t="shared" si="14"/>
        <v>-5.2784339074471891</v>
      </c>
      <c r="T29" s="1">
        <f t="shared" si="15"/>
        <v>27.8618645152882</v>
      </c>
      <c r="U29" s="1"/>
      <c r="V29" s="1"/>
      <c r="W29" s="1">
        <v>1.25</v>
      </c>
      <c r="X29" s="1">
        <v>77</v>
      </c>
      <c r="Y29" s="1">
        <v>7.4574800000000003</v>
      </c>
      <c r="Z29" s="1">
        <v>8.1986399999999993</v>
      </c>
      <c r="AA29" s="1">
        <v>67.217699999999994</v>
      </c>
    </row>
    <row r="30" spans="1:27">
      <c r="A30" s="1"/>
      <c r="B30" s="1">
        <f t="shared" si="8"/>
        <v>2.5</v>
      </c>
      <c r="C30" s="1">
        <v>74.5</v>
      </c>
      <c r="D30" s="1">
        <f t="shared" si="9"/>
        <v>5.6982042790042993</v>
      </c>
      <c r="E30" s="1">
        <f t="shared" si="12"/>
        <v>6.486113683451018</v>
      </c>
      <c r="F30" s="1">
        <f t="shared" si="13"/>
        <v>42.069670714650535</v>
      </c>
      <c r="G30" s="1"/>
      <c r="H30" s="30"/>
      <c r="I30" s="30">
        <v>2.5</v>
      </c>
      <c r="J30" s="30">
        <v>119</v>
      </c>
      <c r="K30" s="30">
        <v>15.8369</v>
      </c>
      <c r="L30" s="30">
        <v>-3.7526000000000002</v>
      </c>
      <c r="M30" s="30">
        <v>14.081799999999999</v>
      </c>
      <c r="N30" s="1"/>
      <c r="O30" s="1"/>
      <c r="P30" s="1">
        <f t="shared" si="10"/>
        <v>2.5</v>
      </c>
      <c r="Q30" s="1">
        <v>75.5</v>
      </c>
      <c r="R30" s="1">
        <f t="shared" si="11"/>
        <v>17.565524816371855</v>
      </c>
      <c r="S30" s="1">
        <f t="shared" si="14"/>
        <v>4.2427356918861037</v>
      </c>
      <c r="T30" s="1">
        <f t="shared" si="15"/>
        <v>18.000806151204255</v>
      </c>
      <c r="U30" s="1"/>
      <c r="V30" s="1"/>
      <c r="W30" s="1">
        <v>2.5</v>
      </c>
      <c r="X30" s="1">
        <v>75.5</v>
      </c>
      <c r="Y30" s="1">
        <v>14.464700000000001</v>
      </c>
      <c r="Z30" s="1">
        <v>-0.30863000000000002</v>
      </c>
      <c r="AA30" s="1">
        <v>9.5250000000000001E-2</v>
      </c>
    </row>
    <row r="31" spans="1:27">
      <c r="A31" s="1"/>
      <c r="B31" s="1">
        <f t="shared" si="8"/>
        <v>5</v>
      </c>
      <c r="C31" s="35">
        <v>76.5</v>
      </c>
      <c r="D31" s="1">
        <f t="shared" si="9"/>
        <v>11.067081366622318</v>
      </c>
      <c r="E31" s="1">
        <f t="shared" si="12"/>
        <v>3.1172365958329991</v>
      </c>
      <c r="F31" s="1">
        <f t="shared" si="13"/>
        <v>9.7171639944005044</v>
      </c>
      <c r="G31" s="1"/>
      <c r="H31" s="30"/>
      <c r="I31" s="30">
        <v>5</v>
      </c>
      <c r="J31" s="36">
        <v>142.5</v>
      </c>
      <c r="K31" s="30">
        <v>29.258800000000001</v>
      </c>
      <c r="L31" s="30">
        <v>6.3255800000000004</v>
      </c>
      <c r="M31" s="30">
        <v>40.012999999999998</v>
      </c>
      <c r="N31" s="1"/>
      <c r="O31" s="1"/>
      <c r="P31" s="1">
        <f t="shared" si="10"/>
        <v>5</v>
      </c>
      <c r="Q31" s="35">
        <v>87</v>
      </c>
      <c r="R31" s="1">
        <f t="shared" si="11"/>
        <v>32.922967462687033</v>
      </c>
      <c r="S31" s="1">
        <f t="shared" si="14"/>
        <v>0.38529304557092559</v>
      </c>
      <c r="T31" s="1">
        <f t="shared" si="15"/>
        <v>0.14845073096531933</v>
      </c>
      <c r="U31" s="1"/>
      <c r="V31" s="1"/>
      <c r="W31" s="1">
        <v>5</v>
      </c>
      <c r="X31" s="1">
        <v>80</v>
      </c>
      <c r="Y31" s="1">
        <v>27.279199999999999</v>
      </c>
      <c r="Z31" s="1">
        <v>-8.6230399999999996</v>
      </c>
      <c r="AA31" s="1">
        <v>74.356800000000007</v>
      </c>
    </row>
    <row r="32" spans="1:27" ht="16">
      <c r="A32" s="1"/>
      <c r="B32" s="1">
        <f t="shared" si="8"/>
        <v>10</v>
      </c>
      <c r="C32" s="35">
        <v>78</v>
      </c>
      <c r="D32" s="1">
        <f t="shared" si="9"/>
        <v>20.923738645642963</v>
      </c>
      <c r="E32" s="1">
        <f t="shared" si="12"/>
        <v>-5.239420683187646</v>
      </c>
      <c r="F32" s="1">
        <f t="shared" si="13"/>
        <v>27.4515290954145</v>
      </c>
      <c r="G32" s="1"/>
      <c r="H32" s="30"/>
      <c r="I32" s="30">
        <v>10</v>
      </c>
      <c r="J32" s="37">
        <v>158.5</v>
      </c>
      <c r="K32" s="30">
        <v>50.734699999999997</v>
      </c>
      <c r="L32" s="30">
        <v>0.84963999999999995</v>
      </c>
      <c r="M32" s="30">
        <v>0.72189000000000003</v>
      </c>
      <c r="N32" s="1"/>
      <c r="O32" s="1"/>
      <c r="P32" s="1">
        <f t="shared" si="10"/>
        <v>10</v>
      </c>
      <c r="Q32" s="23">
        <v>113.5</v>
      </c>
      <c r="R32" s="1">
        <f t="shared" si="11"/>
        <v>58.465970537797936</v>
      </c>
      <c r="S32" s="1">
        <f t="shared" si="14"/>
        <v>1.3422899704600226</v>
      </c>
      <c r="T32" s="1">
        <f t="shared" si="15"/>
        <v>1.8017423647975683</v>
      </c>
      <c r="U32" s="1"/>
      <c r="V32" s="1"/>
      <c r="W32" s="1">
        <v>10</v>
      </c>
      <c r="X32" s="1">
        <v>106.5</v>
      </c>
      <c r="Y32" s="1">
        <v>48.953699999999998</v>
      </c>
      <c r="Z32" s="1">
        <v>-3.7975699999999999</v>
      </c>
      <c r="AA32" s="1">
        <v>14.4216</v>
      </c>
    </row>
    <row r="33" spans="1:27" ht="16">
      <c r="A33" s="1"/>
      <c r="B33" s="1">
        <f t="shared" si="8"/>
        <v>20</v>
      </c>
      <c r="C33" s="35">
        <v>100</v>
      </c>
      <c r="D33" s="1">
        <f t="shared" si="9"/>
        <v>37.715988589945077</v>
      </c>
      <c r="E33" s="1">
        <f t="shared" si="12"/>
        <v>-3.1670627489759795E-2</v>
      </c>
      <c r="F33" s="1">
        <f t="shared" si="13"/>
        <v>1.0030286455951288E-3</v>
      </c>
      <c r="G33" s="1"/>
      <c r="H33" s="30"/>
      <c r="I33" s="30">
        <v>20</v>
      </c>
      <c r="J33" s="37">
        <v>177</v>
      </c>
      <c r="K33" s="30">
        <v>80.023399999999995</v>
      </c>
      <c r="L33" s="30">
        <v>-9.9390999999999998</v>
      </c>
      <c r="M33" s="30">
        <v>98.785200000000003</v>
      </c>
      <c r="N33" s="1"/>
      <c r="O33" s="1"/>
      <c r="P33" s="1">
        <f t="shared" si="10"/>
        <v>20</v>
      </c>
      <c r="Q33" s="23">
        <v>152.5</v>
      </c>
      <c r="R33" s="1">
        <f t="shared" si="11"/>
        <v>95.421698568394859</v>
      </c>
      <c r="S33" s="1">
        <f t="shared" si="14"/>
        <v>3.3865619398630997</v>
      </c>
      <c r="T33" s="1">
        <f t="shared" si="15"/>
        <v>11.468801772529321</v>
      </c>
      <c r="U33" s="1"/>
      <c r="V33" s="1"/>
      <c r="W33" s="1">
        <v>20</v>
      </c>
      <c r="X33" s="1">
        <v>133.5</v>
      </c>
      <c r="Y33" s="1">
        <v>81.153099999999995</v>
      </c>
      <c r="Z33" s="1">
        <v>-8.9970099999999995</v>
      </c>
      <c r="AA33" s="1">
        <v>80.946100000000001</v>
      </c>
    </row>
    <row r="34" spans="1:27" ht="16">
      <c r="A34" s="1"/>
      <c r="B34" s="1">
        <f t="shared" si="8"/>
        <v>40</v>
      </c>
      <c r="C34" s="35">
        <v>122</v>
      </c>
      <c r="D34" s="1">
        <f t="shared" si="9"/>
        <v>62.97055201794511</v>
      </c>
      <c r="E34" s="1">
        <f t="shared" si="12"/>
        <v>-3.2862340554897926</v>
      </c>
      <c r="F34" s="1">
        <f t="shared" si="13"/>
        <v>10.799334267460889</v>
      </c>
      <c r="G34" s="1"/>
      <c r="H34" s="30"/>
      <c r="I34" s="30">
        <v>40</v>
      </c>
      <c r="J34" s="37">
        <v>225.5</v>
      </c>
      <c r="K34" s="30">
        <v>112.255</v>
      </c>
      <c r="L34" s="30">
        <v>6.3294300000000003</v>
      </c>
      <c r="M34" s="30">
        <v>40.061700000000002</v>
      </c>
      <c r="N34" s="1"/>
      <c r="O34" s="1"/>
      <c r="P34" s="1">
        <f t="shared" si="10"/>
        <v>40</v>
      </c>
      <c r="Q34" s="23">
        <v>190</v>
      </c>
      <c r="R34" s="1">
        <f t="shared" si="11"/>
        <v>139.29115460336837</v>
      </c>
      <c r="S34" s="1">
        <f t="shared" si="14"/>
        <v>-2.9828940951104244</v>
      </c>
      <c r="T34" s="1">
        <f t="shared" si="15"/>
        <v>8.8976571826446378</v>
      </c>
      <c r="U34" s="1"/>
      <c r="V34" s="1"/>
      <c r="W34" s="1">
        <v>40</v>
      </c>
      <c r="X34" s="1">
        <v>186.5</v>
      </c>
      <c r="Y34" s="1">
        <v>120.756</v>
      </c>
      <c r="Z34" s="1">
        <v>4.4003500000000004</v>
      </c>
      <c r="AA34" s="1">
        <v>19.363099999999999</v>
      </c>
    </row>
    <row r="35" spans="1:27" ht="16">
      <c r="A35" s="1"/>
      <c r="B35" s="1">
        <f t="shared" si="8"/>
        <v>80</v>
      </c>
      <c r="C35" s="35">
        <v>157</v>
      </c>
      <c r="D35" s="1">
        <f t="shared" si="9"/>
        <v>94.605017449975421</v>
      </c>
      <c r="E35" s="1">
        <f t="shared" si="12"/>
        <v>7.9300512479889562E-2</v>
      </c>
      <c r="F35" s="1">
        <f t="shared" si="13"/>
        <v>6.2885712795731205E-3</v>
      </c>
      <c r="G35" s="1"/>
      <c r="H35" s="30"/>
      <c r="I35" s="30">
        <v>80</v>
      </c>
      <c r="J35" s="37">
        <v>247</v>
      </c>
      <c r="K35" s="30">
        <v>140.304</v>
      </c>
      <c r="L35" s="30">
        <v>-0.21959999999999999</v>
      </c>
      <c r="M35" s="30">
        <v>4.8230000000000002E-2</v>
      </c>
      <c r="N35" s="1"/>
      <c r="O35" s="1"/>
      <c r="P35" s="1">
        <f t="shared" si="10"/>
        <v>80</v>
      </c>
      <c r="Q35" s="23">
        <v>231.5</v>
      </c>
      <c r="R35" s="1">
        <f t="shared" si="11"/>
        <v>180.57715834766896</v>
      </c>
      <c r="S35" s="1">
        <f t="shared" si="14"/>
        <v>-2.7688978394110109</v>
      </c>
      <c r="T35" s="1">
        <f t="shared" si="15"/>
        <v>7.6667952450949644</v>
      </c>
      <c r="U35" s="1"/>
      <c r="V35" s="1"/>
      <c r="W35" s="1">
        <v>80</v>
      </c>
      <c r="X35" s="1">
        <v>230</v>
      </c>
      <c r="Y35" s="1">
        <v>159.494</v>
      </c>
      <c r="Z35" s="1">
        <v>9.1620200000000001</v>
      </c>
      <c r="AA35" s="1">
        <v>83.942599999999999</v>
      </c>
    </row>
    <row r="36" spans="1:27" ht="16">
      <c r="A36" s="1"/>
      <c r="B36" s="1">
        <f t="shared" si="8"/>
        <v>160</v>
      </c>
      <c r="C36" s="35">
        <v>195</v>
      </c>
      <c r="D36" s="1">
        <f t="shared" si="9"/>
        <v>126.25161442964847</v>
      </c>
      <c r="E36" s="1">
        <f t="shared" si="12"/>
        <v>6.4327035328068405</v>
      </c>
      <c r="F36" s="1">
        <f t="shared" si="13"/>
        <v>41.379674740985607</v>
      </c>
      <c r="G36" s="1"/>
      <c r="H36" s="30"/>
      <c r="I36" s="30">
        <v>160</v>
      </c>
      <c r="J36" s="37">
        <v>269.5</v>
      </c>
      <c r="K36" s="30">
        <v>160.16800000000001</v>
      </c>
      <c r="L36" s="30">
        <v>2.4164500000000002</v>
      </c>
      <c r="M36" s="30">
        <v>5.8392299999999997</v>
      </c>
      <c r="N36" s="1"/>
      <c r="O36" s="1"/>
      <c r="P36" s="1">
        <f t="shared" si="10"/>
        <v>160</v>
      </c>
      <c r="Q36" s="23">
        <v>266</v>
      </c>
      <c r="R36" s="1">
        <f t="shared" si="11"/>
        <v>211.77424747743564</v>
      </c>
      <c r="S36" s="1">
        <f t="shared" si="14"/>
        <v>0.53401303082230811</v>
      </c>
      <c r="T36" s="1">
        <f t="shared" si="15"/>
        <v>0.28516991708802741</v>
      </c>
      <c r="U36" s="1"/>
      <c r="V36" s="1"/>
      <c r="W36" s="1">
        <v>160</v>
      </c>
      <c r="X36" s="1">
        <v>259.5</v>
      </c>
      <c r="Y36" s="1">
        <v>189.77</v>
      </c>
      <c r="Z36" s="1">
        <v>8.3863099999999999</v>
      </c>
      <c r="AA36" s="1">
        <v>70.330200000000005</v>
      </c>
    </row>
    <row r="37" spans="1:27" ht="16">
      <c r="A37" s="1"/>
      <c r="B37" s="1">
        <v>320</v>
      </c>
      <c r="C37" s="35">
        <v>210</v>
      </c>
      <c r="D37" s="1">
        <f t="shared" si="9"/>
        <v>151.53309378437922</v>
      </c>
      <c r="E37" s="1">
        <f t="shared" si="12"/>
        <v>-3.8487758219239083</v>
      </c>
      <c r="F37" s="1">
        <f t="shared" si="13"/>
        <v>14.813075327426056</v>
      </c>
      <c r="G37" s="1"/>
      <c r="H37" s="30"/>
      <c r="I37" s="30">
        <v>320</v>
      </c>
      <c r="J37" s="37">
        <v>276.5</v>
      </c>
      <c r="K37" s="30">
        <v>172.29599999999999</v>
      </c>
      <c r="L37" s="30">
        <v>-2.7115999999999998</v>
      </c>
      <c r="M37" s="30">
        <v>7.35304</v>
      </c>
      <c r="N37" s="1"/>
      <c r="O37" s="1"/>
      <c r="P37" s="1">
        <v>320</v>
      </c>
      <c r="Q37" s="23">
        <v>287</v>
      </c>
      <c r="R37" s="1">
        <f t="shared" si="11"/>
        <v>231.68815105407012</v>
      </c>
      <c r="S37" s="1">
        <f t="shared" si="14"/>
        <v>1.6201094541878263</v>
      </c>
      <c r="T37" s="1">
        <f t="shared" si="15"/>
        <v>2.6247546435487763</v>
      </c>
      <c r="U37" s="1"/>
      <c r="V37" s="1"/>
      <c r="W37" s="1">
        <v>320</v>
      </c>
      <c r="X37" s="1">
        <v>259</v>
      </c>
      <c r="Y37" s="1">
        <v>209.56800000000001</v>
      </c>
      <c r="Z37" s="1">
        <v>-11.9115</v>
      </c>
      <c r="AA37" s="1">
        <v>141.88399999999999</v>
      </c>
    </row>
    <row r="38" spans="1:27">
      <c r="A38" s="1"/>
      <c r="B38" s="1"/>
      <c r="C38" s="1"/>
      <c r="D38" s="1"/>
      <c r="E38" s="1"/>
      <c r="F38" s="1"/>
      <c r="G38" s="1"/>
      <c r="H38" s="30"/>
      <c r="I38" s="30"/>
      <c r="J38" s="30"/>
      <c r="K38" s="30"/>
      <c r="L38" s="30"/>
      <c r="M38" s="3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>
      <c r="A39" s="1" t="s">
        <v>104</v>
      </c>
      <c r="B39" s="1" t="s">
        <v>82</v>
      </c>
      <c r="C39" s="24" t="s">
        <v>81</v>
      </c>
      <c r="D39" s="24" t="s">
        <v>80</v>
      </c>
      <c r="E39" s="24"/>
      <c r="F39" s="1" t="s">
        <v>79</v>
      </c>
      <c r="G39" s="1"/>
      <c r="H39" s="30" t="s">
        <v>104</v>
      </c>
      <c r="I39" s="30" t="s">
        <v>82</v>
      </c>
      <c r="J39" s="38" t="s">
        <v>81</v>
      </c>
      <c r="K39" s="38" t="s">
        <v>123</v>
      </c>
      <c r="L39" s="38"/>
      <c r="M39" s="30" t="s">
        <v>79</v>
      </c>
      <c r="N39" s="1"/>
      <c r="O39" s="1" t="s">
        <v>104</v>
      </c>
      <c r="P39" s="1" t="s">
        <v>82</v>
      </c>
      <c r="Q39" s="24" t="s">
        <v>81</v>
      </c>
      <c r="R39" s="24" t="s">
        <v>80</v>
      </c>
      <c r="S39" s="24"/>
      <c r="T39" s="1" t="s">
        <v>79</v>
      </c>
      <c r="U39" s="1"/>
      <c r="V39" s="1" t="s">
        <v>104</v>
      </c>
      <c r="W39" s="1" t="s">
        <v>82</v>
      </c>
      <c r="X39" s="24" t="s">
        <v>81</v>
      </c>
      <c r="Y39" s="27" t="s">
        <v>122</v>
      </c>
      <c r="Z39" s="24"/>
      <c r="AA39" s="1" t="s">
        <v>79</v>
      </c>
    </row>
    <row r="40" spans="1:27" ht="16">
      <c r="A40" s="1">
        <v>62.315682037544683</v>
      </c>
      <c r="B40" s="25">
        <v>79.589894984462887</v>
      </c>
      <c r="C40" s="24">
        <v>189.31667441790239</v>
      </c>
      <c r="D40" s="24">
        <v>1</v>
      </c>
      <c r="E40" s="24"/>
      <c r="F40" s="21">
        <f>SUM(F24:F37)</f>
        <v>285.15742031979067</v>
      </c>
      <c r="G40" s="1"/>
      <c r="H40" s="30">
        <v>106.916</v>
      </c>
      <c r="I40" s="39">
        <v>25.999700000000001</v>
      </c>
      <c r="J40" s="38">
        <v>186.33500000000001</v>
      </c>
      <c r="K40" s="38">
        <v>1</v>
      </c>
      <c r="L40" s="38"/>
      <c r="M40" s="31">
        <v>461.327</v>
      </c>
      <c r="N40" s="1"/>
      <c r="O40" s="1">
        <v>53.691739491742041</v>
      </c>
      <c r="P40" s="25">
        <v>32.948419655700668</v>
      </c>
      <c r="Q40" s="24">
        <v>255.61140935358782</v>
      </c>
      <c r="R40" s="24">
        <v>1</v>
      </c>
      <c r="S40" s="24"/>
      <c r="T40" s="21">
        <f>SUM(T24:T37)</f>
        <v>568.95271888298169</v>
      </c>
      <c r="U40" s="1"/>
      <c r="V40" s="1">
        <v>61.343879999999999</v>
      </c>
      <c r="W40" s="25">
        <v>36.979999999999997</v>
      </c>
      <c r="X40" s="24">
        <v>233.85400000000001</v>
      </c>
      <c r="Y40" s="24">
        <v>1</v>
      </c>
      <c r="Z40" s="24"/>
      <c r="AA40" s="21">
        <v>566.85599999999999</v>
      </c>
    </row>
    <row r="41" spans="1:27">
      <c r="A41" s="1"/>
      <c r="B41" s="1"/>
      <c r="C41" s="1"/>
      <c r="D41" s="1"/>
      <c r="E41" s="1"/>
      <c r="F41" s="1"/>
      <c r="G41" s="1"/>
      <c r="H41" s="30"/>
      <c r="I41" s="30"/>
      <c r="J41" s="30"/>
      <c r="K41" s="30"/>
      <c r="L41" s="30"/>
      <c r="M41" s="3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28"/>
      <c r="B42" s="1" t="s">
        <v>90</v>
      </c>
      <c r="C42" s="1" t="s">
        <v>89</v>
      </c>
      <c r="D42" s="1" t="s">
        <v>88</v>
      </c>
      <c r="E42" s="1" t="s">
        <v>87</v>
      </c>
      <c r="F42" s="1" t="s">
        <v>86</v>
      </c>
      <c r="G42" s="1"/>
      <c r="H42" s="29"/>
      <c r="I42" s="30" t="s">
        <v>90</v>
      </c>
      <c r="J42" s="30" t="s">
        <v>89</v>
      </c>
      <c r="K42" s="30" t="s">
        <v>88</v>
      </c>
      <c r="L42" s="30" t="s">
        <v>87</v>
      </c>
      <c r="M42" s="30" t="s">
        <v>86</v>
      </c>
      <c r="N42" s="1"/>
      <c r="O42" s="28"/>
      <c r="P42" s="1" t="s">
        <v>90</v>
      </c>
      <c r="Q42" s="1" t="s">
        <v>89</v>
      </c>
      <c r="R42" s="1" t="s">
        <v>88</v>
      </c>
      <c r="S42" s="1" t="s">
        <v>87</v>
      </c>
      <c r="T42" s="1" t="s">
        <v>86</v>
      </c>
      <c r="U42" s="1"/>
      <c r="V42" s="1"/>
      <c r="W42" s="1" t="s">
        <v>90</v>
      </c>
      <c r="X42" s="1" t="s">
        <v>89</v>
      </c>
      <c r="Y42" s="1" t="s">
        <v>88</v>
      </c>
      <c r="Z42" s="1" t="s">
        <v>87</v>
      </c>
      <c r="AA42" s="1" t="s">
        <v>86</v>
      </c>
    </row>
    <row r="43" spans="1:27">
      <c r="A43" s="1"/>
      <c r="B43" s="1"/>
      <c r="C43" s="1"/>
      <c r="D43" s="1"/>
      <c r="E43" s="1"/>
      <c r="F43" s="1"/>
      <c r="G43" s="1"/>
      <c r="H43" s="30"/>
      <c r="I43" s="30"/>
      <c r="J43" s="30"/>
      <c r="K43" s="30"/>
      <c r="L43" s="30"/>
      <c r="M43" s="3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 t="s">
        <v>105</v>
      </c>
      <c r="B44" s="1">
        <f t="shared" ref="B44:B56" si="16">B45/2</f>
        <v>3.90625E-2</v>
      </c>
      <c r="C44" s="1">
        <v>0</v>
      </c>
      <c r="D44" s="1">
        <f t="shared" ref="D44:D57" si="17" xml:space="preserve"> (B$60+B44+D$60-((B$60+B44+D$60)^2-4*D$60*B44)^0.5)*C$60/(2*D$60)</f>
        <v>2.0569544719906623E-2</v>
      </c>
      <c r="E44" s="1">
        <f>C44-D44</f>
        <v>-2.0569544719906623E-2</v>
      </c>
      <c r="F44" s="1"/>
      <c r="G44" s="1"/>
      <c r="H44" s="30" t="s">
        <v>105</v>
      </c>
      <c r="I44" s="30">
        <v>3.9059999999999997E-2</v>
      </c>
      <c r="J44" s="30">
        <v>0</v>
      </c>
      <c r="K44" s="30">
        <v>6.3130000000000006E-2</v>
      </c>
      <c r="L44" s="30">
        <v>-6.3100000000000003E-2</v>
      </c>
      <c r="M44" s="30"/>
      <c r="N44" s="1"/>
      <c r="O44" s="1" t="s">
        <v>105</v>
      </c>
      <c r="P44" s="1">
        <f t="shared" ref="P44:P56" si="18">P45/2</f>
        <v>3.90625E-2</v>
      </c>
      <c r="Q44" s="1">
        <v>0</v>
      </c>
      <c r="R44" s="1">
        <f t="shared" ref="R44:R57" si="19" xml:space="preserve"> (P$60+P44+R$60-((P$60+P44+R$60)^2-4*R$60*P44)^0.5)*Q$60/(2*R$60)</f>
        <v>6.2262977490131564E-2</v>
      </c>
      <c r="S44" s="1">
        <f>Q44-R44</f>
        <v>-6.2262977490131564E-2</v>
      </c>
      <c r="T44" s="1"/>
      <c r="U44" s="1"/>
      <c r="V44" s="1" t="s">
        <v>105</v>
      </c>
      <c r="W44" s="1">
        <v>3.9059999999999997E-2</v>
      </c>
      <c r="X44" s="1">
        <v>0</v>
      </c>
      <c r="Y44" s="1">
        <v>5.9380000000000002E-2</v>
      </c>
      <c r="Z44" s="1">
        <v>-5.9380000000000002E-2</v>
      </c>
      <c r="AA44" s="1"/>
    </row>
    <row r="45" spans="1:27" ht="16">
      <c r="A45" s="1"/>
      <c r="B45" s="1">
        <f t="shared" si="16"/>
        <v>7.8125E-2</v>
      </c>
      <c r="C45" s="40">
        <v>64.5</v>
      </c>
      <c r="D45" s="1">
        <f t="shared" si="17"/>
        <v>4.1136837556868928E-2</v>
      </c>
      <c r="E45" s="1">
        <f t="shared" ref="E45:E57" si="20">(C45-A$60)-D45</f>
        <v>-2.7249318523681927</v>
      </c>
      <c r="F45" s="1">
        <f t="shared" ref="F45:F57" si="21">E45*E45</f>
        <v>7.4252536000507501</v>
      </c>
      <c r="G45" s="1"/>
      <c r="H45" s="30"/>
      <c r="I45" s="30">
        <v>7.8130000000000005E-2</v>
      </c>
      <c r="J45" s="41">
        <v>81</v>
      </c>
      <c r="K45" s="30">
        <v>0.12623000000000001</v>
      </c>
      <c r="L45" s="30">
        <v>-8.5485000000000007</v>
      </c>
      <c r="M45" s="30">
        <v>73.077500000000001</v>
      </c>
      <c r="N45" s="1"/>
      <c r="O45" s="1"/>
      <c r="P45" s="1">
        <f t="shared" si="18"/>
        <v>7.8125E-2</v>
      </c>
      <c r="Q45" s="40">
        <v>73.5</v>
      </c>
      <c r="R45" s="1">
        <f t="shared" si="19"/>
        <v>0.12449047392488143</v>
      </c>
      <c r="S45" s="1">
        <f t="shared" ref="S45:S57" si="22">(Q45-O$60)-R45</f>
        <v>0.74166632973768098</v>
      </c>
      <c r="T45" s="1">
        <f t="shared" ref="T45:T57" si="23">S45*S45</f>
        <v>0.55006894466656253</v>
      </c>
      <c r="U45" s="1"/>
      <c r="V45" s="1"/>
      <c r="W45" s="1">
        <v>7.8130000000000005E-2</v>
      </c>
      <c r="X45" s="1">
        <v>64.5</v>
      </c>
      <c r="Y45" s="1">
        <v>0.11874</v>
      </c>
      <c r="Z45" s="1">
        <v>-2.2860100000000001</v>
      </c>
      <c r="AA45" s="1">
        <v>5.2258599999999999</v>
      </c>
    </row>
    <row r="46" spans="1:27" ht="16">
      <c r="A46" s="1"/>
      <c r="B46" s="1">
        <f t="shared" si="16"/>
        <v>0.15625</v>
      </c>
      <c r="C46" s="40">
        <v>67.5</v>
      </c>
      <c r="D46" s="1">
        <f t="shared" si="17"/>
        <v>8.2264669053695866E-2</v>
      </c>
      <c r="E46" s="1">
        <f t="shared" si="20"/>
        <v>0.23394031613498048</v>
      </c>
      <c r="F46" s="1">
        <f t="shared" si="21"/>
        <v>5.4728071513334607E-2</v>
      </c>
      <c r="G46" s="1"/>
      <c r="H46" s="30"/>
      <c r="I46" s="30">
        <v>0.15625</v>
      </c>
      <c r="J46" s="41">
        <v>90.5</v>
      </c>
      <c r="K46" s="30">
        <v>0.25233</v>
      </c>
      <c r="L46" s="30">
        <v>0.82535999999999998</v>
      </c>
      <c r="M46" s="30">
        <v>0.68120999999999998</v>
      </c>
      <c r="N46" s="1"/>
      <c r="O46" s="1"/>
      <c r="P46" s="1">
        <f t="shared" si="18"/>
        <v>0.15625</v>
      </c>
      <c r="Q46" s="40">
        <v>56</v>
      </c>
      <c r="R46" s="1">
        <f t="shared" si="19"/>
        <v>0.24883914399250456</v>
      </c>
      <c r="S46" s="1">
        <f t="shared" si="22"/>
        <v>-16.882682340329943</v>
      </c>
      <c r="T46" s="1">
        <f t="shared" si="23"/>
        <v>285.02496300448854</v>
      </c>
      <c r="U46" s="1"/>
      <c r="V46" s="1"/>
      <c r="W46" s="1">
        <v>0.15625</v>
      </c>
      <c r="X46" s="1">
        <v>70.5</v>
      </c>
      <c r="Y46" s="1">
        <v>0.23738000000000001</v>
      </c>
      <c r="Z46" s="1">
        <v>3.5953499999999998</v>
      </c>
      <c r="AA46" s="1">
        <v>12.926500000000001</v>
      </c>
    </row>
    <row r="47" spans="1:27" ht="16">
      <c r="A47" s="1"/>
      <c r="B47" s="1">
        <f t="shared" si="16"/>
        <v>0.3125</v>
      </c>
      <c r="C47" s="40">
        <v>68</v>
      </c>
      <c r="D47" s="1">
        <f t="shared" si="17"/>
        <v>0.16449332574775341</v>
      </c>
      <c r="E47" s="1">
        <f t="shared" si="20"/>
        <v>0.65171165944092291</v>
      </c>
      <c r="F47" s="1">
        <f t="shared" si="21"/>
        <v>0.42472808705124149</v>
      </c>
      <c r="G47" s="1"/>
      <c r="H47" s="30"/>
      <c r="I47" s="30">
        <v>0.3125</v>
      </c>
      <c r="J47" s="41">
        <v>93</v>
      </c>
      <c r="K47" s="30">
        <v>0.50416000000000005</v>
      </c>
      <c r="L47" s="30">
        <v>3.0735299999999999</v>
      </c>
      <c r="M47" s="30">
        <v>9.4465900000000005</v>
      </c>
      <c r="N47" s="1"/>
      <c r="O47" s="1"/>
      <c r="P47" s="1">
        <f t="shared" si="18"/>
        <v>0.3125</v>
      </c>
      <c r="Q47" s="40">
        <v>65.5</v>
      </c>
      <c r="R47" s="1">
        <f t="shared" si="19"/>
        <v>0.49711203345470545</v>
      </c>
      <c r="S47" s="1">
        <f t="shared" si="22"/>
        <v>-7.6309552297921428</v>
      </c>
      <c r="T47" s="1">
        <f t="shared" si="23"/>
        <v>58.231477719092055</v>
      </c>
      <c r="U47" s="1"/>
      <c r="V47" s="1"/>
      <c r="W47" s="1">
        <v>0.3125</v>
      </c>
      <c r="X47" s="1">
        <v>63.5</v>
      </c>
      <c r="Y47" s="1">
        <v>0.47433999999999998</v>
      </c>
      <c r="Z47" s="1">
        <v>-3.64161</v>
      </c>
      <c r="AA47" s="1">
        <v>13.2614</v>
      </c>
    </row>
    <row r="48" spans="1:27" ht="16">
      <c r="A48" s="1"/>
      <c r="B48" s="1">
        <f t="shared" si="16"/>
        <v>0.625</v>
      </c>
      <c r="C48" s="40">
        <v>69</v>
      </c>
      <c r="D48" s="1">
        <f t="shared" si="17"/>
        <v>0.32884269643997643</v>
      </c>
      <c r="E48" s="1">
        <f t="shared" si="20"/>
        <v>1.4873622887486999</v>
      </c>
      <c r="F48" s="1">
        <f t="shared" si="21"/>
        <v>2.2122465779917708</v>
      </c>
      <c r="G48" s="1"/>
      <c r="H48" s="30"/>
      <c r="I48" s="30">
        <v>0.625</v>
      </c>
      <c r="J48" s="41">
        <v>84.5</v>
      </c>
      <c r="K48" s="30">
        <v>1.00631</v>
      </c>
      <c r="L48" s="30">
        <v>-5.9286000000000003</v>
      </c>
      <c r="M48" s="30">
        <v>35.148499999999999</v>
      </c>
      <c r="N48" s="1"/>
      <c r="O48" s="1"/>
      <c r="P48" s="1">
        <f t="shared" si="18"/>
        <v>0.625</v>
      </c>
      <c r="Q48" s="40">
        <v>77.5</v>
      </c>
      <c r="R48" s="1">
        <f t="shared" si="19"/>
        <v>0.99196670598711856</v>
      </c>
      <c r="S48" s="1">
        <f t="shared" si="22"/>
        <v>3.8741900976754438</v>
      </c>
      <c r="T48" s="1">
        <f t="shared" si="23"/>
        <v>15.009348912926464</v>
      </c>
      <c r="U48" s="1"/>
      <c r="V48" s="1"/>
      <c r="W48" s="1">
        <v>0.625</v>
      </c>
      <c r="X48" s="1">
        <v>67.5</v>
      </c>
      <c r="Y48" s="1">
        <v>0.94701999999999997</v>
      </c>
      <c r="Z48" s="1">
        <v>-0.1143</v>
      </c>
      <c r="AA48" s="1">
        <v>1.306E-2</v>
      </c>
    </row>
    <row r="49" spans="1:27">
      <c r="A49" s="1"/>
      <c r="B49" s="1">
        <f t="shared" si="16"/>
        <v>1.25</v>
      </c>
      <c r="C49" s="33">
        <v>73.5</v>
      </c>
      <c r="D49" s="1">
        <f t="shared" si="17"/>
        <v>0.65711032680484649</v>
      </c>
      <c r="E49" s="1">
        <f t="shared" si="20"/>
        <v>5.6590946583838297</v>
      </c>
      <c r="F49" s="1">
        <f t="shared" si="21"/>
        <v>32.025352352548396</v>
      </c>
      <c r="G49" s="1"/>
      <c r="H49" s="30"/>
      <c r="I49" s="30">
        <v>1.25</v>
      </c>
      <c r="J49" s="30">
        <v>82</v>
      </c>
      <c r="K49" s="30">
        <v>2.00461</v>
      </c>
      <c r="L49" s="30">
        <v>-9.4268999999999998</v>
      </c>
      <c r="M49" s="30">
        <v>88.866900000000001</v>
      </c>
      <c r="N49" s="1"/>
      <c r="O49" s="1"/>
      <c r="P49" s="1">
        <f t="shared" si="18"/>
        <v>1.25</v>
      </c>
      <c r="Q49" s="1">
        <v>78</v>
      </c>
      <c r="R49" s="1">
        <f t="shared" si="19"/>
        <v>1.9749647483115367</v>
      </c>
      <c r="S49" s="1">
        <f t="shared" si="22"/>
        <v>3.3911920553510257</v>
      </c>
      <c r="T49" s="1">
        <f t="shared" si="23"/>
        <v>11.500183556275914</v>
      </c>
      <c r="U49" s="1"/>
      <c r="V49" s="1"/>
      <c r="W49" s="1">
        <v>1.25</v>
      </c>
      <c r="X49" s="1">
        <v>71.5</v>
      </c>
      <c r="Y49" s="1">
        <v>1.88744</v>
      </c>
      <c r="Z49" s="1">
        <v>2.94529</v>
      </c>
      <c r="AA49" s="1">
        <v>8.6747399999999999</v>
      </c>
    </row>
    <row r="50" spans="1:27">
      <c r="A50" s="1"/>
      <c r="B50" s="1">
        <f t="shared" si="16"/>
        <v>2.5</v>
      </c>
      <c r="C50" s="1">
        <v>66.5</v>
      </c>
      <c r="D50" s="1">
        <f t="shared" si="17"/>
        <v>1.311926404248668</v>
      </c>
      <c r="E50" s="1">
        <f t="shared" si="20"/>
        <v>-1.9957214190599917</v>
      </c>
      <c r="F50" s="1">
        <f t="shared" si="21"/>
        <v>3.9829039824948267</v>
      </c>
      <c r="G50" s="1"/>
      <c r="H50" s="30"/>
      <c r="I50" s="30">
        <v>2.5</v>
      </c>
      <c r="J50" s="30">
        <v>100</v>
      </c>
      <c r="K50" s="30">
        <v>3.9776199999999999</v>
      </c>
      <c r="L50" s="30">
        <v>6.6000699999999997</v>
      </c>
      <c r="M50" s="30">
        <v>43.561</v>
      </c>
      <c r="N50" s="1"/>
      <c r="O50" s="1"/>
      <c r="P50" s="1">
        <f t="shared" si="18"/>
        <v>2.5</v>
      </c>
      <c r="Q50" s="1">
        <v>81.5</v>
      </c>
      <c r="R50" s="1">
        <f t="shared" si="19"/>
        <v>3.9145335679319206</v>
      </c>
      <c r="S50" s="1">
        <f t="shared" si="22"/>
        <v>4.9516232357306418</v>
      </c>
      <c r="T50" s="1">
        <f t="shared" si="23"/>
        <v>24.518572668627591</v>
      </c>
      <c r="U50" s="1"/>
      <c r="V50" s="1"/>
      <c r="W50" s="1">
        <v>2.5</v>
      </c>
      <c r="X50" s="1">
        <v>70.5</v>
      </c>
      <c r="Y50" s="1">
        <v>3.7486999999999999</v>
      </c>
      <c r="Z50" s="1">
        <v>8.4029999999999994E-2</v>
      </c>
      <c r="AA50" s="1">
        <v>7.0600000000000003E-3</v>
      </c>
    </row>
    <row r="51" spans="1:27">
      <c r="A51" s="1"/>
      <c r="B51" s="1">
        <f t="shared" si="16"/>
        <v>5</v>
      </c>
      <c r="C51" s="35">
        <v>71</v>
      </c>
      <c r="D51" s="1">
        <f t="shared" si="17"/>
        <v>2.6147236386742807</v>
      </c>
      <c r="E51" s="1">
        <f t="shared" si="20"/>
        <v>1.2014813465143956</v>
      </c>
      <c r="F51" s="1">
        <f t="shared" si="21"/>
        <v>1.4435574260220452</v>
      </c>
      <c r="G51" s="1"/>
      <c r="H51" s="30"/>
      <c r="I51" s="30">
        <v>5</v>
      </c>
      <c r="J51" s="36">
        <v>105.5</v>
      </c>
      <c r="K51" s="30">
        <v>7.8317100000000002</v>
      </c>
      <c r="L51" s="30">
        <v>8.2459799999999994</v>
      </c>
      <c r="M51" s="30">
        <v>67.996200000000002</v>
      </c>
      <c r="N51" s="1"/>
      <c r="O51" s="1"/>
      <c r="P51" s="1">
        <f t="shared" si="18"/>
        <v>5</v>
      </c>
      <c r="Q51" s="35">
        <v>75</v>
      </c>
      <c r="R51" s="1">
        <f t="shared" si="19"/>
        <v>7.6911968848525767</v>
      </c>
      <c r="S51" s="1">
        <f t="shared" si="22"/>
        <v>-5.3250400811900143</v>
      </c>
      <c r="T51" s="1">
        <f t="shared" si="23"/>
        <v>28.356051866280154</v>
      </c>
      <c r="U51" s="1"/>
      <c r="V51" s="1"/>
      <c r="W51" s="1">
        <v>5</v>
      </c>
      <c r="X51" s="1">
        <v>72</v>
      </c>
      <c r="Y51" s="1">
        <v>7.3948499999999999</v>
      </c>
      <c r="Z51" s="1">
        <v>-2.0621299999999998</v>
      </c>
      <c r="AA51" s="1">
        <v>4.2523600000000004</v>
      </c>
    </row>
    <row r="52" spans="1:27" ht="16">
      <c r="A52" s="1"/>
      <c r="B52" s="1">
        <f t="shared" si="16"/>
        <v>10</v>
      </c>
      <c r="C52" s="23">
        <v>68</v>
      </c>
      <c r="D52" s="1">
        <f t="shared" si="17"/>
        <v>5.1933086040894674</v>
      </c>
      <c r="E52" s="1">
        <f t="shared" si="20"/>
        <v>-4.377103618900791</v>
      </c>
      <c r="F52" s="1">
        <f t="shared" si="21"/>
        <v>19.159036090594402</v>
      </c>
      <c r="G52" s="1"/>
      <c r="H52" s="30"/>
      <c r="I52" s="30">
        <v>10</v>
      </c>
      <c r="J52" s="37">
        <v>113</v>
      </c>
      <c r="K52" s="30">
        <v>15.1915</v>
      </c>
      <c r="L52" s="30">
        <v>8.3861600000000003</v>
      </c>
      <c r="M52" s="30">
        <v>70.327699999999993</v>
      </c>
      <c r="N52" s="1"/>
      <c r="O52" s="1"/>
      <c r="P52" s="1">
        <f t="shared" si="18"/>
        <v>10</v>
      </c>
      <c r="Q52" s="35">
        <v>104.5</v>
      </c>
      <c r="R52" s="1">
        <f t="shared" si="19"/>
        <v>14.858875302120309</v>
      </c>
      <c r="S52" s="1">
        <f t="shared" si="22"/>
        <v>17.007281501542252</v>
      </c>
      <c r="T52" s="1">
        <f t="shared" si="23"/>
        <v>289.24762407270129</v>
      </c>
      <c r="U52" s="1"/>
      <c r="V52" s="1"/>
      <c r="W52" s="1">
        <v>10</v>
      </c>
      <c r="X52" s="25">
        <v>85.5</v>
      </c>
      <c r="Y52" s="1">
        <v>14.395799999999999</v>
      </c>
      <c r="Z52" s="1">
        <v>4.4369199999999998</v>
      </c>
      <c r="AA52" s="1">
        <v>19.686299999999999</v>
      </c>
    </row>
    <row r="53" spans="1:27" ht="16">
      <c r="A53" s="1"/>
      <c r="B53" s="1">
        <f t="shared" si="16"/>
        <v>20</v>
      </c>
      <c r="C53" s="23">
        <v>79.5</v>
      </c>
      <c r="D53" s="1">
        <f t="shared" si="17"/>
        <v>10.245014611720496</v>
      </c>
      <c r="E53" s="1">
        <f t="shared" si="20"/>
        <v>2.0711903734681805</v>
      </c>
      <c r="F53" s="1">
        <f t="shared" si="21"/>
        <v>4.2898295631472605</v>
      </c>
      <c r="G53" s="1"/>
      <c r="H53" s="30"/>
      <c r="I53" s="30">
        <v>20</v>
      </c>
      <c r="J53" s="37">
        <v>120.5</v>
      </c>
      <c r="K53" s="30">
        <v>28.6556</v>
      </c>
      <c r="L53" s="30">
        <v>2.4221200000000001</v>
      </c>
      <c r="M53" s="30">
        <v>5.8666400000000003</v>
      </c>
      <c r="N53" s="1"/>
      <c r="O53" s="1"/>
      <c r="P53" s="1">
        <f t="shared" si="18"/>
        <v>20</v>
      </c>
      <c r="Q53" s="35">
        <v>108</v>
      </c>
      <c r="R53" s="1">
        <f t="shared" si="19"/>
        <v>27.822728799315868</v>
      </c>
      <c r="S53" s="1">
        <f t="shared" si="22"/>
        <v>7.5434280043466941</v>
      </c>
      <c r="T53" s="1">
        <f t="shared" si="23"/>
        <v>56.903306056761949</v>
      </c>
      <c r="U53" s="1"/>
      <c r="V53" s="1"/>
      <c r="W53" s="1">
        <v>20</v>
      </c>
      <c r="X53" s="25">
        <v>94.5</v>
      </c>
      <c r="Y53" s="1">
        <v>27.335000000000001</v>
      </c>
      <c r="Z53" s="1">
        <v>0.49775999999999998</v>
      </c>
      <c r="AA53" s="1">
        <v>0.24776000000000001</v>
      </c>
    </row>
    <row r="54" spans="1:27" ht="16">
      <c r="A54" s="1"/>
      <c r="B54" s="1">
        <f t="shared" si="16"/>
        <v>40</v>
      </c>
      <c r="C54" s="23">
        <v>83</v>
      </c>
      <c r="D54" s="1">
        <f t="shared" si="17"/>
        <v>19.946141455339667</v>
      </c>
      <c r="E54" s="1">
        <f t="shared" si="20"/>
        <v>-4.1299364701509909</v>
      </c>
      <c r="F54" s="1">
        <f t="shared" si="21"/>
        <v>17.056375247483228</v>
      </c>
      <c r="G54" s="1"/>
      <c r="H54" s="30"/>
      <c r="I54" s="30">
        <v>40</v>
      </c>
      <c r="J54" s="37">
        <v>137</v>
      </c>
      <c r="K54" s="30">
        <v>51.455199999999998</v>
      </c>
      <c r="L54" s="30">
        <v>-3.8774999999999999</v>
      </c>
      <c r="M54" s="30">
        <v>15.034800000000001</v>
      </c>
      <c r="N54" s="1"/>
      <c r="O54" s="1"/>
      <c r="P54" s="1">
        <f t="shared" si="18"/>
        <v>40</v>
      </c>
      <c r="Q54" s="35">
        <v>117</v>
      </c>
      <c r="R54" s="1">
        <f t="shared" si="19"/>
        <v>49.345735499060211</v>
      </c>
      <c r="S54" s="1">
        <f t="shared" si="22"/>
        <v>-4.9795786953976489</v>
      </c>
      <c r="T54" s="1">
        <f t="shared" si="23"/>
        <v>24.796203983658149</v>
      </c>
      <c r="U54" s="1"/>
      <c r="V54" s="1"/>
      <c r="W54" s="1">
        <v>40</v>
      </c>
      <c r="X54" s="25">
        <v>112</v>
      </c>
      <c r="Y54" s="1">
        <v>49.6434</v>
      </c>
      <c r="Z54" s="1">
        <v>-4.3106900000000001</v>
      </c>
      <c r="AA54" s="1">
        <v>18.582100000000001</v>
      </c>
    </row>
    <row r="55" spans="1:27" ht="16">
      <c r="A55" s="1"/>
      <c r="B55" s="1">
        <f t="shared" si="16"/>
        <v>80</v>
      </c>
      <c r="C55" s="23">
        <v>106</v>
      </c>
      <c r="D55" s="1">
        <f t="shared" si="17"/>
        <v>37.881055006618048</v>
      </c>
      <c r="E55" s="1">
        <f t="shared" si="20"/>
        <v>0.93514997857062809</v>
      </c>
      <c r="F55" s="1">
        <f t="shared" si="21"/>
        <v>0.87450548242064619</v>
      </c>
      <c r="G55" s="1"/>
      <c r="H55" s="30"/>
      <c r="I55" s="30">
        <v>80</v>
      </c>
      <c r="J55" s="37">
        <v>171</v>
      </c>
      <c r="K55" s="30">
        <v>85.431399999999996</v>
      </c>
      <c r="L55" s="30">
        <v>-3.8536999999999999</v>
      </c>
      <c r="M55" s="30">
        <v>14.8512</v>
      </c>
      <c r="N55" s="1"/>
      <c r="O55" s="1"/>
      <c r="P55" s="1">
        <f t="shared" si="18"/>
        <v>80</v>
      </c>
      <c r="Q55" s="35">
        <v>156</v>
      </c>
      <c r="R55" s="1">
        <f t="shared" si="19"/>
        <v>80.450400522944406</v>
      </c>
      <c r="S55" s="1">
        <f t="shared" si="22"/>
        <v>2.9157562807181563</v>
      </c>
      <c r="T55" s="1">
        <f t="shared" si="23"/>
        <v>8.5016346885473766</v>
      </c>
      <c r="U55" s="1"/>
      <c r="V55" s="1"/>
      <c r="W55" s="1">
        <v>80</v>
      </c>
      <c r="X55" s="25">
        <v>146.5</v>
      </c>
      <c r="Y55" s="1">
        <v>83.852500000000006</v>
      </c>
      <c r="Z55" s="1">
        <v>-4.0198200000000002</v>
      </c>
      <c r="AA55" s="1">
        <v>16.158999999999999</v>
      </c>
    </row>
    <row r="56" spans="1:27" ht="16">
      <c r="A56" s="1"/>
      <c r="B56" s="1">
        <f t="shared" si="16"/>
        <v>160</v>
      </c>
      <c r="C56" s="23">
        <v>137.5</v>
      </c>
      <c r="D56" s="1">
        <f t="shared" si="17"/>
        <v>68.821495961456037</v>
      </c>
      <c r="E56" s="1">
        <f t="shared" si="20"/>
        <v>1.4947090237326393</v>
      </c>
      <c r="F56" s="1">
        <f t="shared" si="21"/>
        <v>2.2341550656277795</v>
      </c>
      <c r="G56" s="1"/>
      <c r="H56" s="30"/>
      <c r="I56" s="30">
        <v>160</v>
      </c>
      <c r="J56" s="37">
        <v>219</v>
      </c>
      <c r="K56" s="30">
        <v>127.497</v>
      </c>
      <c r="L56" s="30">
        <v>2.08067</v>
      </c>
      <c r="M56" s="30">
        <v>4.3291899999999996</v>
      </c>
      <c r="N56" s="1"/>
      <c r="O56" s="1"/>
      <c r="P56" s="1">
        <f t="shared" si="18"/>
        <v>160</v>
      </c>
      <c r="Q56" s="35">
        <v>178</v>
      </c>
      <c r="R56" s="1">
        <f t="shared" si="19"/>
        <v>117.42886416209997</v>
      </c>
      <c r="S56" s="1">
        <f t="shared" si="22"/>
        <v>-12.062707358437407</v>
      </c>
      <c r="T56" s="1">
        <f t="shared" si="23"/>
        <v>145.50890881529998</v>
      </c>
      <c r="U56" s="1"/>
      <c r="V56" s="1"/>
      <c r="W56" s="1">
        <v>160</v>
      </c>
      <c r="X56" s="25">
        <v>202.5</v>
      </c>
      <c r="Y56" s="1">
        <v>127.896</v>
      </c>
      <c r="Z56" s="1">
        <v>7.9362500000000002</v>
      </c>
      <c r="AA56" s="1">
        <v>62.984099999999998</v>
      </c>
    </row>
    <row r="57" spans="1:27" ht="16">
      <c r="A57" s="1"/>
      <c r="B57" s="1">
        <v>320</v>
      </c>
      <c r="C57" s="23">
        <v>183</v>
      </c>
      <c r="D57" s="1">
        <f t="shared" si="17"/>
        <v>116.32472219971351</v>
      </c>
      <c r="E57" s="1">
        <f t="shared" si="20"/>
        <v>-0.50851721452482934</v>
      </c>
      <c r="F57" s="1">
        <f t="shared" si="21"/>
        <v>0.25858975746809132</v>
      </c>
      <c r="G57" s="1"/>
      <c r="H57" s="30"/>
      <c r="I57" s="30">
        <v>320</v>
      </c>
      <c r="J57" s="37">
        <v>258.5</v>
      </c>
      <c r="K57" s="30">
        <v>169.077</v>
      </c>
      <c r="L57" s="30">
        <v>2.5000000000000001E-4</v>
      </c>
      <c r="M57" s="30">
        <v>6.1999999999999999E-8</v>
      </c>
      <c r="N57" s="1"/>
      <c r="O57" s="1"/>
      <c r="P57" s="1">
        <v>320</v>
      </c>
      <c r="Q57" s="35">
        <v>231.5</v>
      </c>
      <c r="R57" s="1">
        <f t="shared" si="19"/>
        <v>152.40948517862535</v>
      </c>
      <c r="S57" s="1">
        <f t="shared" si="22"/>
        <v>6.4566716250372167</v>
      </c>
      <c r="T57" s="1">
        <f t="shared" si="23"/>
        <v>41.688608473560734</v>
      </c>
      <c r="U57" s="1"/>
      <c r="V57" s="1"/>
      <c r="W57" s="1">
        <v>320</v>
      </c>
      <c r="X57" s="25">
        <v>237</v>
      </c>
      <c r="Y57" s="1">
        <v>173.393</v>
      </c>
      <c r="Z57" s="1">
        <v>-3.0607600000000001</v>
      </c>
      <c r="AA57" s="1">
        <v>9.3682700000000008</v>
      </c>
    </row>
    <row r="58" spans="1:27">
      <c r="A58" s="1"/>
      <c r="B58" s="1"/>
      <c r="C58" s="1"/>
      <c r="D58" s="1"/>
      <c r="E58" s="1"/>
      <c r="F58" s="1"/>
      <c r="G58" s="1"/>
      <c r="H58" s="30"/>
      <c r="I58" s="30"/>
      <c r="J58" s="30"/>
      <c r="K58" s="30"/>
      <c r="L58" s="30"/>
      <c r="M58" s="3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">
      <c r="A59" s="1" t="s">
        <v>104</v>
      </c>
      <c r="B59" s="1" t="s">
        <v>82</v>
      </c>
      <c r="C59" s="24" t="s">
        <v>81</v>
      </c>
      <c r="D59" s="24" t="s">
        <v>80</v>
      </c>
      <c r="E59" s="24"/>
      <c r="F59" s="1" t="s">
        <v>79</v>
      </c>
      <c r="G59" s="1"/>
      <c r="H59" s="30" t="s">
        <v>104</v>
      </c>
      <c r="I59" s="30" t="s">
        <v>82</v>
      </c>
      <c r="J59" s="38" t="s">
        <v>81</v>
      </c>
      <c r="K59" s="38" t="s">
        <v>123</v>
      </c>
      <c r="L59" s="38"/>
      <c r="M59" s="30" t="s">
        <v>79</v>
      </c>
      <c r="N59" s="1"/>
      <c r="O59" s="1" t="s">
        <v>104</v>
      </c>
      <c r="P59" s="1" t="s">
        <v>82</v>
      </c>
      <c r="Q59" s="24" t="s">
        <v>81</v>
      </c>
      <c r="R59" s="24" t="s">
        <v>80</v>
      </c>
      <c r="S59" s="24"/>
      <c r="T59" s="1" t="s">
        <v>79</v>
      </c>
      <c r="U59" s="1"/>
      <c r="V59" s="1" t="s">
        <v>104</v>
      </c>
      <c r="W59" s="1" t="s">
        <v>82</v>
      </c>
      <c r="X59" s="24" t="s">
        <v>81</v>
      </c>
      <c r="Y59" s="27" t="s">
        <v>122</v>
      </c>
      <c r="Z59" s="24"/>
      <c r="AA59" s="1" t="s">
        <v>79</v>
      </c>
    </row>
    <row r="60" spans="1:27" ht="16">
      <c r="A60" s="1">
        <v>67.183795014811324</v>
      </c>
      <c r="B60" s="25">
        <v>711.54450981381785</v>
      </c>
      <c r="C60" s="24">
        <v>375.23247429986031</v>
      </c>
      <c r="D60" s="24">
        <v>1</v>
      </c>
      <c r="E60" s="24"/>
      <c r="F60" s="21">
        <f>SUM(F44:F58)</f>
        <v>91.441261304413771</v>
      </c>
      <c r="G60" s="1"/>
      <c r="H60" s="30">
        <v>89.422300000000007</v>
      </c>
      <c r="I60" s="39">
        <v>154.05000000000001</v>
      </c>
      <c r="J60" s="38">
        <v>250.64400000000001</v>
      </c>
      <c r="K60" s="38">
        <v>1</v>
      </c>
      <c r="L60" s="38"/>
      <c r="M60" s="31">
        <v>429.18700000000001</v>
      </c>
      <c r="N60" s="1"/>
      <c r="O60" s="1">
        <v>72.633843196337438</v>
      </c>
      <c r="P60" s="25">
        <v>135.01090623243496</v>
      </c>
      <c r="Q60" s="24">
        <v>216.85397155007919</v>
      </c>
      <c r="R60" s="24">
        <v>1</v>
      </c>
      <c r="S60" s="24"/>
      <c r="T60" s="21">
        <f>SUM(T44:T58)</f>
        <v>989.83695276288677</v>
      </c>
      <c r="U60" s="1"/>
      <c r="V60" s="1">
        <v>66.667270000000002</v>
      </c>
      <c r="W60" s="25">
        <v>175.81</v>
      </c>
      <c r="X60" s="24">
        <v>268.84800000000001</v>
      </c>
      <c r="Y60" s="24">
        <v>1</v>
      </c>
      <c r="Z60" s="24"/>
      <c r="AA60" s="21">
        <v>171.38800000000001</v>
      </c>
    </row>
    <row r="61" spans="1:27">
      <c r="A61" s="1"/>
      <c r="B61" s="1"/>
      <c r="C61" s="1"/>
      <c r="D61" s="1"/>
      <c r="E61" s="1"/>
      <c r="F61" s="1"/>
      <c r="G61" s="1"/>
      <c r="H61" s="30"/>
      <c r="I61" s="30"/>
      <c r="J61" s="30"/>
      <c r="K61" s="30"/>
      <c r="L61" s="30"/>
      <c r="M61" s="3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28"/>
      <c r="B62" s="1" t="s">
        <v>90</v>
      </c>
      <c r="C62" s="1" t="s">
        <v>89</v>
      </c>
      <c r="D62" s="1" t="s">
        <v>88</v>
      </c>
      <c r="E62" s="1" t="s">
        <v>87</v>
      </c>
      <c r="F62" s="1" t="s">
        <v>86</v>
      </c>
      <c r="G62" s="1"/>
      <c r="H62" s="29"/>
      <c r="I62" s="30" t="s">
        <v>90</v>
      </c>
      <c r="J62" s="30" t="s">
        <v>89</v>
      </c>
      <c r="K62" s="30" t="s">
        <v>88</v>
      </c>
      <c r="L62" s="30" t="s">
        <v>87</v>
      </c>
      <c r="M62" s="30" t="s">
        <v>86</v>
      </c>
      <c r="N62" s="1"/>
      <c r="O62" s="28"/>
      <c r="P62" s="1" t="s">
        <v>90</v>
      </c>
      <c r="Q62" s="1" t="s">
        <v>89</v>
      </c>
      <c r="R62" s="1" t="s">
        <v>88</v>
      </c>
      <c r="S62" s="1" t="s">
        <v>87</v>
      </c>
      <c r="T62" s="1" t="s">
        <v>86</v>
      </c>
      <c r="U62" s="1"/>
      <c r="V62" s="1"/>
      <c r="W62" s="1" t="s">
        <v>90</v>
      </c>
      <c r="X62" s="1" t="s">
        <v>89</v>
      </c>
      <c r="Y62" s="1" t="s">
        <v>88</v>
      </c>
      <c r="Z62" s="1" t="s">
        <v>87</v>
      </c>
      <c r="AA62" s="1" t="s">
        <v>86</v>
      </c>
    </row>
    <row r="63" spans="1:27">
      <c r="A63" s="1"/>
      <c r="B63" s="1"/>
      <c r="C63" s="1"/>
      <c r="D63" s="1"/>
      <c r="E63" s="1"/>
      <c r="F63" s="1"/>
      <c r="G63" s="1"/>
      <c r="H63" s="30"/>
      <c r="I63" s="30"/>
      <c r="J63" s="30"/>
      <c r="K63" s="30"/>
      <c r="L63" s="30"/>
      <c r="M63" s="3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 t="s">
        <v>106</v>
      </c>
      <c r="B64" s="1">
        <f t="shared" ref="B64:B76" si="24">B65/2</f>
        <v>3.90625E-2</v>
      </c>
      <c r="C64" s="1">
        <v>6</v>
      </c>
      <c r="D64" s="1">
        <f t="shared" ref="D64:D77" si="25" xml:space="preserve"> (B$80+B64+D$80-((B$80+B64+D$80)^2-4*D$80*B64)^0.5)*C$80/(2*D$80)</f>
        <v>9.0524739380046987E-2</v>
      </c>
      <c r="E64" s="1">
        <f t="shared" ref="E64:E77" si="26">(C64-A$80)-D64</f>
        <v>-65.724832068570223</v>
      </c>
      <c r="F64" s="1"/>
      <c r="G64" s="1"/>
      <c r="H64" s="30" t="s">
        <v>106</v>
      </c>
      <c r="I64" s="30">
        <v>3.9059999999999997E-2</v>
      </c>
      <c r="J64" s="30">
        <v>6</v>
      </c>
      <c r="K64" s="30">
        <v>0.32679999999999998</v>
      </c>
      <c r="L64" s="30">
        <v>-84.875</v>
      </c>
      <c r="M64" s="30"/>
      <c r="N64" s="1"/>
      <c r="O64" s="1" t="s">
        <v>106</v>
      </c>
      <c r="P64" s="1">
        <f t="shared" ref="P64:P76" si="27">P65/2</f>
        <v>3.90625E-2</v>
      </c>
      <c r="Q64" s="1">
        <v>6</v>
      </c>
      <c r="R64" s="1">
        <f t="shared" ref="R64:R77" si="28" xml:space="preserve"> (P$80+P64+R$80-((P$80+P64+R$80)^2-4*R$80*P64)^0.5)*Q$80/(2*R$80)</f>
        <v>0.27665735988315532</v>
      </c>
      <c r="S64" s="1">
        <f t="shared" ref="S64:S77" si="29">(Q64-O$80)-R64</f>
        <v>-58.017622093643183</v>
      </c>
      <c r="T64" s="1"/>
      <c r="U64" s="1"/>
      <c r="V64" s="1" t="s">
        <v>106</v>
      </c>
      <c r="W64" s="1">
        <v>3.9059999999999997E-2</v>
      </c>
      <c r="X64" s="1">
        <v>6</v>
      </c>
      <c r="Y64" s="1">
        <v>0.26390000000000002</v>
      </c>
      <c r="Z64" s="1">
        <v>-47.6905</v>
      </c>
      <c r="AA64" s="1"/>
    </row>
    <row r="65" spans="1:27" ht="16">
      <c r="A65" s="1"/>
      <c r="B65" s="1">
        <f t="shared" si="24"/>
        <v>7.8125E-2</v>
      </c>
      <c r="C65" s="22">
        <v>68</v>
      </c>
      <c r="D65" s="1">
        <f t="shared" si="25"/>
        <v>0.18096245731974028</v>
      </c>
      <c r="E65" s="1">
        <f t="shared" si="26"/>
        <v>-3.8152697865099192</v>
      </c>
      <c r="F65" s="1">
        <f t="shared" ref="F65:F77" si="30">E65*E65</f>
        <v>14.556283543855445</v>
      </c>
      <c r="G65" s="1"/>
      <c r="H65" s="30"/>
      <c r="I65" s="30">
        <v>7.8130000000000005E-2</v>
      </c>
      <c r="J65" s="32">
        <v>88</v>
      </c>
      <c r="K65" s="30">
        <v>0.65259999999999996</v>
      </c>
      <c r="L65" s="30">
        <v>-3.2010000000000001</v>
      </c>
      <c r="M65" s="30">
        <v>10.246700000000001</v>
      </c>
      <c r="N65" s="1"/>
      <c r="O65" s="1"/>
      <c r="P65" s="1">
        <f t="shared" si="27"/>
        <v>7.8125E-2</v>
      </c>
      <c r="Q65" s="42">
        <v>50.5</v>
      </c>
      <c r="R65" s="1">
        <f t="shared" si="28"/>
        <v>0.55272354424321635</v>
      </c>
      <c r="S65" s="1">
        <f t="shared" si="29"/>
        <v>-13.793688278003247</v>
      </c>
      <c r="T65" s="1">
        <f t="shared" ref="T65:T77" si="31">S65*S65</f>
        <v>190.26583631072418</v>
      </c>
      <c r="U65" s="1"/>
      <c r="V65" s="1"/>
      <c r="W65" s="1">
        <v>7.8130000000000005E-2</v>
      </c>
      <c r="X65" s="25">
        <v>50</v>
      </c>
      <c r="Y65" s="1">
        <v>0.52725</v>
      </c>
      <c r="Z65" s="1">
        <v>-3.9538500000000001</v>
      </c>
      <c r="AA65" s="1">
        <v>15.632899999999999</v>
      </c>
    </row>
    <row r="66" spans="1:27" ht="16">
      <c r="A66" s="1"/>
      <c r="B66" s="1">
        <f t="shared" si="24"/>
        <v>0.15625</v>
      </c>
      <c r="C66" s="22">
        <v>74</v>
      </c>
      <c r="D66" s="1">
        <f t="shared" si="25"/>
        <v>0.3615773240190196</v>
      </c>
      <c r="E66" s="1">
        <f t="shared" si="26"/>
        <v>2.0041153467908015</v>
      </c>
      <c r="F66" s="1">
        <f t="shared" si="30"/>
        <v>4.0164783232424144</v>
      </c>
      <c r="G66" s="1"/>
      <c r="H66" s="30"/>
      <c r="I66" s="30">
        <v>0.15625</v>
      </c>
      <c r="J66" s="32">
        <v>89</v>
      </c>
      <c r="K66" s="30">
        <v>1.3011699999999999</v>
      </c>
      <c r="L66" s="30">
        <v>-2.8496000000000001</v>
      </c>
      <c r="M66" s="30">
        <v>8.1203199999999995</v>
      </c>
      <c r="N66" s="1"/>
      <c r="O66" s="1"/>
      <c r="P66" s="1">
        <f t="shared" si="27"/>
        <v>0.15625</v>
      </c>
      <c r="Q66" s="42">
        <v>68.5</v>
      </c>
      <c r="R66" s="1">
        <f t="shared" si="28"/>
        <v>1.1030897321188453</v>
      </c>
      <c r="S66" s="1">
        <f t="shared" si="29"/>
        <v>3.6559455341211242</v>
      </c>
      <c r="T66" s="1">
        <f t="shared" si="31"/>
        <v>13.365937748460192</v>
      </c>
      <c r="U66" s="1"/>
      <c r="V66" s="1"/>
      <c r="W66" s="1">
        <v>0.15625</v>
      </c>
      <c r="X66" s="25">
        <v>61.5</v>
      </c>
      <c r="Y66" s="1">
        <v>1.0523100000000001</v>
      </c>
      <c r="Z66" s="1">
        <v>7.0210900000000001</v>
      </c>
      <c r="AA66" s="1">
        <v>49.2958</v>
      </c>
    </row>
    <row r="67" spans="1:27" ht="16">
      <c r="A67" s="1"/>
      <c r="B67" s="1">
        <f t="shared" si="24"/>
        <v>0.3125</v>
      </c>
      <c r="C67" s="22">
        <v>62</v>
      </c>
      <c r="D67" s="1">
        <f t="shared" si="25"/>
        <v>0.72176823364764697</v>
      </c>
      <c r="E67" s="1">
        <f t="shared" si="26"/>
        <v>-10.356075562837827</v>
      </c>
      <c r="F67" s="1">
        <f t="shared" si="30"/>
        <v>107.24830106320681</v>
      </c>
      <c r="G67" s="1"/>
      <c r="H67" s="30"/>
      <c r="I67" s="30">
        <v>0.3125</v>
      </c>
      <c r="J67" s="32">
        <v>111.5</v>
      </c>
      <c r="K67" s="30">
        <v>2.5863700000000001</v>
      </c>
      <c r="L67" s="30">
        <v>18.365200000000002</v>
      </c>
      <c r="M67" s="30">
        <v>337.28</v>
      </c>
      <c r="N67" s="1"/>
      <c r="O67" s="1"/>
      <c r="P67" s="1">
        <f t="shared" si="27"/>
        <v>0.3125</v>
      </c>
      <c r="Q67" s="42">
        <v>88.5</v>
      </c>
      <c r="R67" s="1">
        <f t="shared" si="28"/>
        <v>2.1968083931874265</v>
      </c>
      <c r="S67" s="1">
        <f t="shared" si="29"/>
        <v>22.562226873052545</v>
      </c>
      <c r="T67" s="1">
        <f t="shared" si="31"/>
        <v>509.05408147109443</v>
      </c>
      <c r="U67" s="1"/>
      <c r="V67" s="1"/>
      <c r="W67" s="1">
        <v>0.3125</v>
      </c>
      <c r="X67" s="25">
        <v>61.5</v>
      </c>
      <c r="Y67" s="1">
        <v>2.0958700000000001</v>
      </c>
      <c r="Z67" s="1">
        <v>5.9775299999999998</v>
      </c>
      <c r="AA67" s="1">
        <v>35.730899999999998</v>
      </c>
    </row>
    <row r="68" spans="1:27" ht="16">
      <c r="A68" s="1"/>
      <c r="B68" s="1">
        <f t="shared" si="24"/>
        <v>0.625</v>
      </c>
      <c r="C68" s="22">
        <v>76.5</v>
      </c>
      <c r="D68" s="1">
        <f t="shared" si="25"/>
        <v>1.4380221887145879</v>
      </c>
      <c r="E68" s="1">
        <f t="shared" si="26"/>
        <v>3.4276704820952331</v>
      </c>
      <c r="F68" s="1">
        <f t="shared" si="30"/>
        <v>11.748924933826967</v>
      </c>
      <c r="G68" s="1"/>
      <c r="H68" s="30"/>
      <c r="I68" s="30">
        <v>0.625</v>
      </c>
      <c r="J68" s="32">
        <v>85.5</v>
      </c>
      <c r="K68" s="30">
        <v>5.1099800000000002</v>
      </c>
      <c r="L68" s="30">
        <v>-10.157999999999999</v>
      </c>
      <c r="M68" s="30">
        <v>103.194</v>
      </c>
      <c r="N68" s="1"/>
      <c r="O68" s="1"/>
      <c r="P68" s="1">
        <f t="shared" si="27"/>
        <v>0.625</v>
      </c>
      <c r="Q68" s="42">
        <v>64</v>
      </c>
      <c r="R68" s="1">
        <f t="shared" si="28"/>
        <v>4.3565928505955078</v>
      </c>
      <c r="S68" s="1">
        <f t="shared" si="29"/>
        <v>-4.0975575843555383</v>
      </c>
      <c r="T68" s="1">
        <f t="shared" si="31"/>
        <v>16.789978157109594</v>
      </c>
      <c r="U68" s="1"/>
      <c r="V68" s="1"/>
      <c r="W68" s="1">
        <v>0.625</v>
      </c>
      <c r="X68" s="25">
        <v>59.5</v>
      </c>
      <c r="Y68" s="1">
        <v>4.1571899999999999</v>
      </c>
      <c r="Z68" s="1">
        <v>1.91621</v>
      </c>
      <c r="AA68" s="1">
        <v>3.6718500000000001</v>
      </c>
    </row>
    <row r="69" spans="1:27">
      <c r="A69" s="1"/>
      <c r="B69" s="1">
        <f t="shared" si="24"/>
        <v>1.25</v>
      </c>
      <c r="C69" s="1">
        <v>76</v>
      </c>
      <c r="D69" s="1">
        <f t="shared" si="25"/>
        <v>2.8542350467733826</v>
      </c>
      <c r="E69" s="1">
        <f t="shared" si="26"/>
        <v>1.5114576240364386</v>
      </c>
      <c r="F69" s="1">
        <f t="shared" si="30"/>
        <v>2.2845041492578759</v>
      </c>
      <c r="G69" s="1"/>
      <c r="H69" s="30"/>
      <c r="I69" s="30">
        <v>1.25</v>
      </c>
      <c r="J69" s="30">
        <v>109</v>
      </c>
      <c r="K69" s="30">
        <v>9.9775100000000005</v>
      </c>
      <c r="L69" s="30">
        <v>8.4740400000000005</v>
      </c>
      <c r="M69" s="30">
        <v>71.809299999999993</v>
      </c>
      <c r="N69" s="1"/>
      <c r="O69" s="1"/>
      <c r="P69" s="1">
        <f t="shared" si="27"/>
        <v>1.25</v>
      </c>
      <c r="Q69" s="1">
        <v>76</v>
      </c>
      <c r="R69" s="1">
        <f t="shared" si="28"/>
        <v>8.5686719002857306</v>
      </c>
      <c r="S69" s="1">
        <f t="shared" si="29"/>
        <v>3.690363365954239</v>
      </c>
      <c r="T69" s="1">
        <f t="shared" si="31"/>
        <v>13.618781772777099</v>
      </c>
      <c r="U69" s="1"/>
      <c r="V69" s="1"/>
      <c r="W69" s="1">
        <v>1.25</v>
      </c>
      <c r="X69" s="1">
        <v>62</v>
      </c>
      <c r="Y69" s="1">
        <v>8.1794600000000006</v>
      </c>
      <c r="Z69" s="1">
        <v>0.39394000000000001</v>
      </c>
      <c r="AA69" s="1">
        <v>0.15518999999999999</v>
      </c>
    </row>
    <row r="70" spans="1:27">
      <c r="A70" s="1"/>
      <c r="B70" s="1">
        <f t="shared" si="24"/>
        <v>2.5</v>
      </c>
      <c r="C70" s="1">
        <v>85</v>
      </c>
      <c r="D70" s="1">
        <f t="shared" si="25"/>
        <v>5.6231644718627676</v>
      </c>
      <c r="E70" s="1">
        <f t="shared" si="26"/>
        <v>7.7425281989470536</v>
      </c>
      <c r="F70" s="1">
        <f t="shared" si="30"/>
        <v>59.946742911490304</v>
      </c>
      <c r="G70" s="1"/>
      <c r="H70" s="30"/>
      <c r="I70" s="30">
        <v>2.5</v>
      </c>
      <c r="J70" s="30">
        <v>104</v>
      </c>
      <c r="K70" s="30">
        <v>19.0488</v>
      </c>
      <c r="L70" s="30">
        <v>-5.5972</v>
      </c>
      <c r="M70" s="30">
        <v>31.329000000000001</v>
      </c>
      <c r="N70" s="1"/>
      <c r="O70" s="1"/>
      <c r="P70" s="1">
        <f t="shared" si="27"/>
        <v>2.5</v>
      </c>
      <c r="Q70" s="1">
        <v>76.5</v>
      </c>
      <c r="R70" s="1">
        <f t="shared" si="28"/>
        <v>16.586419702169099</v>
      </c>
      <c r="S70" s="1">
        <f t="shared" si="29"/>
        <v>-3.8273844359291296</v>
      </c>
      <c r="T70" s="1">
        <f t="shared" si="31"/>
        <v>14.648871620392541</v>
      </c>
      <c r="U70" s="1"/>
      <c r="V70" s="1"/>
      <c r="W70" s="1">
        <v>2.5</v>
      </c>
      <c r="X70" s="1">
        <v>70.5</v>
      </c>
      <c r="Y70" s="1">
        <v>15.843999999999999</v>
      </c>
      <c r="Z70" s="1">
        <v>1.2293700000000001</v>
      </c>
      <c r="AA70" s="1">
        <v>1.5113399999999999</v>
      </c>
    </row>
    <row r="71" spans="1:27">
      <c r="A71" s="1"/>
      <c r="B71" s="1">
        <f t="shared" si="24"/>
        <v>5</v>
      </c>
      <c r="C71" s="35">
        <v>82.5</v>
      </c>
      <c r="D71" s="1">
        <f t="shared" si="25"/>
        <v>10.91979343329368</v>
      </c>
      <c r="E71" s="1">
        <f t="shared" si="26"/>
        <v>-5.4100762483859199E-2</v>
      </c>
      <c r="F71" s="1">
        <f t="shared" si="30"/>
        <v>2.926892501334947E-3</v>
      </c>
      <c r="G71" s="1"/>
      <c r="H71" s="30"/>
      <c r="I71" s="30">
        <v>5</v>
      </c>
      <c r="J71" s="36">
        <v>117</v>
      </c>
      <c r="K71" s="30">
        <v>34.911700000000003</v>
      </c>
      <c r="L71" s="30">
        <v>-8.4602000000000004</v>
      </c>
      <c r="M71" s="30">
        <v>71.5745</v>
      </c>
      <c r="N71" s="1"/>
      <c r="O71" s="1"/>
      <c r="P71" s="1">
        <f t="shared" si="27"/>
        <v>5</v>
      </c>
      <c r="Q71" s="35">
        <v>91</v>
      </c>
      <c r="R71" s="1">
        <f t="shared" si="28"/>
        <v>31.164353730179421</v>
      </c>
      <c r="S71" s="1">
        <f t="shared" si="29"/>
        <v>-3.9053184639394516</v>
      </c>
      <c r="T71" s="1">
        <f t="shared" si="31"/>
        <v>15.251512304786397</v>
      </c>
      <c r="U71" s="1"/>
      <c r="V71" s="1"/>
      <c r="W71" s="1">
        <v>5</v>
      </c>
      <c r="X71" s="1">
        <v>77</v>
      </c>
      <c r="Y71" s="1">
        <v>29.807400000000001</v>
      </c>
      <c r="Z71" s="1">
        <v>-6.2340400000000002</v>
      </c>
      <c r="AA71" s="1">
        <v>38.863300000000002</v>
      </c>
    </row>
    <row r="72" spans="1:27" ht="16">
      <c r="A72" s="1"/>
      <c r="B72" s="1">
        <f t="shared" si="24"/>
        <v>10</v>
      </c>
      <c r="C72" s="23">
        <v>86.5</v>
      </c>
      <c r="D72" s="1">
        <f t="shared" si="25"/>
        <v>20.639895343120294</v>
      </c>
      <c r="E72" s="1">
        <f t="shared" si="26"/>
        <v>-5.7742026723104729</v>
      </c>
      <c r="F72" s="1">
        <f t="shared" si="30"/>
        <v>33.341416500917404</v>
      </c>
      <c r="G72" s="1"/>
      <c r="H72" s="30"/>
      <c r="I72" s="30">
        <v>10</v>
      </c>
      <c r="J72" s="36">
        <v>149.5</v>
      </c>
      <c r="K72" s="30">
        <v>59.758800000000001</v>
      </c>
      <c r="L72" s="30">
        <v>-0.80730000000000002</v>
      </c>
      <c r="M72" s="30">
        <v>0.65168000000000004</v>
      </c>
      <c r="N72" s="1"/>
      <c r="O72" s="1"/>
      <c r="P72" s="1">
        <f t="shared" si="27"/>
        <v>10</v>
      </c>
      <c r="Q72" s="35">
        <v>115.5</v>
      </c>
      <c r="R72" s="1">
        <f t="shared" si="28"/>
        <v>55.573208585170036</v>
      </c>
      <c r="S72" s="1">
        <f t="shared" si="29"/>
        <v>-3.8141733189300666</v>
      </c>
      <c r="T72" s="1">
        <f t="shared" si="31"/>
        <v>14.547918106837999</v>
      </c>
      <c r="U72" s="1"/>
      <c r="V72" s="1"/>
      <c r="W72" s="1">
        <v>10</v>
      </c>
      <c r="X72" s="25">
        <v>94</v>
      </c>
      <c r="Y72" s="1">
        <v>53.268599999999999</v>
      </c>
      <c r="Z72" s="1">
        <v>-12.6952</v>
      </c>
      <c r="AA72" s="1">
        <v>161.167</v>
      </c>
    </row>
    <row r="73" spans="1:27" ht="16">
      <c r="A73" s="1"/>
      <c r="B73" s="1">
        <f t="shared" si="24"/>
        <v>20</v>
      </c>
      <c r="C73" s="23">
        <v>118.5</v>
      </c>
      <c r="D73" s="1">
        <f t="shared" si="25"/>
        <v>37.187771926231314</v>
      </c>
      <c r="E73" s="1">
        <f t="shared" si="26"/>
        <v>9.6779207445785076</v>
      </c>
      <c r="F73" s="1">
        <f t="shared" si="30"/>
        <v>93.66214993834302</v>
      </c>
      <c r="G73" s="1"/>
      <c r="H73" s="30"/>
      <c r="I73" s="30">
        <v>20</v>
      </c>
      <c r="J73" s="36">
        <v>183</v>
      </c>
      <c r="K73" s="30">
        <v>92.595299999999995</v>
      </c>
      <c r="L73" s="30">
        <v>-0.14380000000000001</v>
      </c>
      <c r="M73" s="30">
        <v>2.068E-2</v>
      </c>
      <c r="N73" s="1"/>
      <c r="O73" s="1"/>
      <c r="P73" s="1">
        <f t="shared" si="27"/>
        <v>20</v>
      </c>
      <c r="Q73" s="35">
        <v>141</v>
      </c>
      <c r="R73" s="1">
        <f t="shared" si="28"/>
        <v>91.258847292060594</v>
      </c>
      <c r="S73" s="1">
        <f t="shared" si="29"/>
        <v>-13.999812025820617</v>
      </c>
      <c r="T73" s="1">
        <f t="shared" si="31"/>
        <v>195.99473675831157</v>
      </c>
      <c r="U73" s="1"/>
      <c r="V73" s="1"/>
      <c r="W73" s="1">
        <v>20</v>
      </c>
      <c r="X73" s="25">
        <v>136.5</v>
      </c>
      <c r="Y73" s="1">
        <v>87.756399999999999</v>
      </c>
      <c r="Z73" s="1">
        <v>-4.6829700000000001</v>
      </c>
      <c r="AA73" s="1">
        <v>21.930199999999999</v>
      </c>
    </row>
    <row r="74" spans="1:27" ht="16">
      <c r="A74" s="1"/>
      <c r="B74" s="1">
        <f t="shared" si="24"/>
        <v>40</v>
      </c>
      <c r="C74" s="23">
        <v>131</v>
      </c>
      <c r="D74" s="1">
        <f t="shared" si="25"/>
        <v>62.046791799498024</v>
      </c>
      <c r="E74" s="1">
        <f t="shared" si="26"/>
        <v>-2.6810991286882029</v>
      </c>
      <c r="F74" s="1">
        <f t="shared" si="30"/>
        <v>7.1882925378526403</v>
      </c>
      <c r="G74" s="1"/>
      <c r="H74" s="30"/>
      <c r="I74" s="30">
        <v>40</v>
      </c>
      <c r="J74" s="36">
        <v>224.5</v>
      </c>
      <c r="K74" s="30">
        <v>127.36499999999999</v>
      </c>
      <c r="L74" s="30">
        <v>6.5865400000000003</v>
      </c>
      <c r="M74" s="30">
        <v>43.382599999999996</v>
      </c>
      <c r="N74" s="1"/>
      <c r="O74" s="1"/>
      <c r="P74" s="1">
        <f t="shared" si="27"/>
        <v>40</v>
      </c>
      <c r="Q74" s="35">
        <v>203</v>
      </c>
      <c r="R74" s="1">
        <f t="shared" si="28"/>
        <v>134.21264180770385</v>
      </c>
      <c r="S74" s="1">
        <f t="shared" si="29"/>
        <v>5.0463934585361301</v>
      </c>
      <c r="T74" s="1">
        <f t="shared" si="31"/>
        <v>25.466086938356245</v>
      </c>
      <c r="U74" s="1"/>
      <c r="V74" s="1"/>
      <c r="W74" s="1">
        <v>40</v>
      </c>
      <c r="X74" s="25">
        <v>188</v>
      </c>
      <c r="Y74" s="1">
        <v>129.57300000000001</v>
      </c>
      <c r="Z74" s="1">
        <v>5.0003200000000003</v>
      </c>
      <c r="AA74" s="1">
        <v>25.0032</v>
      </c>
    </row>
    <row r="75" spans="1:27" ht="16">
      <c r="A75" s="1"/>
      <c r="B75" s="1">
        <f t="shared" si="24"/>
        <v>80</v>
      </c>
      <c r="C75" s="23">
        <v>165</v>
      </c>
      <c r="D75" s="1">
        <f t="shared" si="25"/>
        <v>93.137963303363605</v>
      </c>
      <c r="E75" s="1">
        <f t="shared" si="26"/>
        <v>0.22772936744621575</v>
      </c>
      <c r="F75" s="1">
        <f t="shared" si="30"/>
        <v>5.1860664797453548E-2</v>
      </c>
      <c r="G75" s="1"/>
      <c r="H75" s="30"/>
      <c r="I75" s="30">
        <v>80</v>
      </c>
      <c r="J75" s="36">
        <v>248.5</v>
      </c>
      <c r="K75" s="30">
        <v>156.50200000000001</v>
      </c>
      <c r="L75" s="30">
        <v>1.4494100000000001</v>
      </c>
      <c r="M75" s="30">
        <v>2.1007799999999999</v>
      </c>
      <c r="N75" s="1"/>
      <c r="O75" s="1"/>
      <c r="P75" s="1">
        <f t="shared" si="27"/>
        <v>80</v>
      </c>
      <c r="Q75" s="35">
        <v>261</v>
      </c>
      <c r="R75" s="1">
        <f t="shared" si="28"/>
        <v>175.24646183385141</v>
      </c>
      <c r="S75" s="1">
        <f t="shared" si="29"/>
        <v>22.012573432388564</v>
      </c>
      <c r="T75" s="1">
        <f t="shared" si="31"/>
        <v>484.55338911629883</v>
      </c>
      <c r="U75" s="1"/>
      <c r="V75" s="1"/>
      <c r="W75" s="1">
        <v>80</v>
      </c>
      <c r="X75" s="25">
        <v>236</v>
      </c>
      <c r="Y75" s="1">
        <v>169.84</v>
      </c>
      <c r="Z75" s="1">
        <v>12.7332</v>
      </c>
      <c r="AA75" s="1">
        <v>162.13399999999999</v>
      </c>
    </row>
    <row r="76" spans="1:27" ht="16">
      <c r="A76" s="1"/>
      <c r="B76" s="1">
        <f t="shared" si="24"/>
        <v>160</v>
      </c>
      <c r="C76" s="23">
        <v>190</v>
      </c>
      <c r="D76" s="1">
        <f t="shared" si="25"/>
        <v>124.18755749737535</v>
      </c>
      <c r="E76" s="1">
        <f t="shared" si="26"/>
        <v>-5.8218648265655304</v>
      </c>
      <c r="F76" s="1">
        <f t="shared" si="30"/>
        <v>33.894110058800891</v>
      </c>
      <c r="G76" s="1"/>
      <c r="H76" s="30"/>
      <c r="I76" s="30">
        <v>160</v>
      </c>
      <c r="J76" s="36">
        <v>266</v>
      </c>
      <c r="K76" s="30">
        <v>176.53299999999999</v>
      </c>
      <c r="L76" s="30">
        <v>-1.0817000000000001</v>
      </c>
      <c r="M76" s="30">
        <v>1.17011</v>
      </c>
      <c r="N76" s="1"/>
      <c r="O76" s="1"/>
      <c r="P76" s="1">
        <f t="shared" si="27"/>
        <v>160</v>
      </c>
      <c r="Q76" s="35">
        <v>263</v>
      </c>
      <c r="R76" s="1">
        <f t="shared" si="28"/>
        <v>206.65630229358618</v>
      </c>
      <c r="S76" s="1">
        <f t="shared" si="29"/>
        <v>-7.3972670273462029</v>
      </c>
      <c r="T76" s="1">
        <f t="shared" si="31"/>
        <v>54.719559473863328</v>
      </c>
      <c r="U76" s="1"/>
      <c r="V76" s="1"/>
      <c r="W76" s="1">
        <v>160</v>
      </c>
      <c r="X76" s="25">
        <v>259.5</v>
      </c>
      <c r="Y76" s="1">
        <v>200.87799999999999</v>
      </c>
      <c r="Z76" s="1">
        <v>5.1952199999999999</v>
      </c>
      <c r="AA76" s="1">
        <v>26.990300000000001</v>
      </c>
    </row>
    <row r="77" spans="1:27" ht="16">
      <c r="A77" s="1"/>
      <c r="B77" s="1">
        <v>320</v>
      </c>
      <c r="C77" s="23">
        <v>224.5</v>
      </c>
      <c r="D77" s="1">
        <f t="shared" si="25"/>
        <v>148.95359522219118</v>
      </c>
      <c r="E77" s="1">
        <f t="shared" si="26"/>
        <v>3.9120974486186526</v>
      </c>
      <c r="F77" s="1">
        <f t="shared" si="30"/>
        <v>15.304506447488571</v>
      </c>
      <c r="G77" s="1"/>
      <c r="H77" s="30"/>
      <c r="I77" s="30">
        <v>320</v>
      </c>
      <c r="J77" s="36">
        <v>276.5</v>
      </c>
      <c r="K77" s="30">
        <v>188.52699999999999</v>
      </c>
      <c r="L77" s="30">
        <v>-2.5752999999999999</v>
      </c>
      <c r="M77" s="30">
        <v>6.6323699999999999</v>
      </c>
      <c r="N77" s="1"/>
      <c r="O77" s="1"/>
      <c r="P77" s="1">
        <v>320</v>
      </c>
      <c r="Q77" s="35">
        <v>284.5</v>
      </c>
      <c r="R77" s="1">
        <f t="shared" si="28"/>
        <v>226.89064095447128</v>
      </c>
      <c r="S77" s="1">
        <f t="shared" si="29"/>
        <v>-6.1316056882313035</v>
      </c>
      <c r="T77" s="1">
        <f t="shared" si="31"/>
        <v>37.596588315950477</v>
      </c>
      <c r="U77" s="1"/>
      <c r="V77" s="1"/>
      <c r="W77" s="1">
        <v>320</v>
      </c>
      <c r="X77" s="25">
        <v>262.5</v>
      </c>
      <c r="Y77" s="1">
        <v>220.97300000000001</v>
      </c>
      <c r="Z77" s="1">
        <v>-11.8993</v>
      </c>
      <c r="AA77" s="1">
        <v>141.59200000000001</v>
      </c>
    </row>
    <row r="78" spans="1:27">
      <c r="A78" s="1"/>
      <c r="B78" s="1"/>
      <c r="C78" s="1"/>
      <c r="D78" s="1"/>
      <c r="E78" s="1"/>
      <c r="F78" s="1"/>
      <c r="G78" s="1"/>
      <c r="H78" s="30"/>
      <c r="I78" s="30"/>
      <c r="J78" s="30"/>
      <c r="K78" s="30"/>
      <c r="L78" s="30"/>
      <c r="M78" s="3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">
      <c r="A79" s="1" t="s">
        <v>104</v>
      </c>
      <c r="B79" s="1" t="s">
        <v>82</v>
      </c>
      <c r="C79" s="24" t="s">
        <v>81</v>
      </c>
      <c r="D79" s="24" t="s">
        <v>80</v>
      </c>
      <c r="E79" s="24"/>
      <c r="F79" s="1" t="s">
        <v>79</v>
      </c>
      <c r="G79" s="1"/>
      <c r="H79" s="30" t="s">
        <v>104</v>
      </c>
      <c r="I79" s="30" t="s">
        <v>82</v>
      </c>
      <c r="J79" s="38" t="s">
        <v>81</v>
      </c>
      <c r="K79" s="38" t="s">
        <v>123</v>
      </c>
      <c r="L79" s="38"/>
      <c r="M79" s="30" t="s">
        <v>79</v>
      </c>
      <c r="N79" s="1"/>
      <c r="O79" s="1" t="s">
        <v>104</v>
      </c>
      <c r="P79" s="1" t="s">
        <v>82</v>
      </c>
      <c r="Q79" s="24" t="s">
        <v>81</v>
      </c>
      <c r="R79" s="24" t="s">
        <v>80</v>
      </c>
      <c r="S79" s="24"/>
      <c r="T79" s="1" t="s">
        <v>79</v>
      </c>
      <c r="U79" s="1"/>
      <c r="V79" s="1" t="s">
        <v>104</v>
      </c>
      <c r="W79" s="1" t="s">
        <v>82</v>
      </c>
      <c r="X79" s="24" t="s">
        <v>81</v>
      </c>
      <c r="Y79" s="27" t="s">
        <v>122</v>
      </c>
      <c r="Z79" s="24"/>
      <c r="AA79" s="1" t="s">
        <v>79</v>
      </c>
    </row>
    <row r="80" spans="1:27" ht="16">
      <c r="A80" s="1">
        <v>71.634307329190179</v>
      </c>
      <c r="B80" s="25">
        <v>79.180873389771421</v>
      </c>
      <c r="C80" s="24">
        <v>185.90322454637973</v>
      </c>
      <c r="D80" s="24">
        <v>1</v>
      </c>
      <c r="E80" s="24"/>
      <c r="F80" s="21">
        <f>SUM(F64:F78)</f>
        <v>383.24649796558111</v>
      </c>
      <c r="G80" s="1"/>
      <c r="H80" s="30">
        <v>90.548500000000004</v>
      </c>
      <c r="I80" s="39">
        <v>23.130600000000001</v>
      </c>
      <c r="J80" s="38">
        <v>202.19399999999999</v>
      </c>
      <c r="K80" s="38">
        <v>1</v>
      </c>
      <c r="L80" s="38"/>
      <c r="M80" s="31">
        <v>687.51199999999994</v>
      </c>
      <c r="N80" s="1"/>
      <c r="O80" s="1">
        <v>63.74096473376003</v>
      </c>
      <c r="P80" s="25">
        <v>34.457058690959322</v>
      </c>
      <c r="Q80" s="24">
        <v>251.39094301598678</v>
      </c>
      <c r="R80" s="24">
        <v>1</v>
      </c>
      <c r="S80" s="24"/>
      <c r="T80" s="21">
        <f>SUM(T64:T78)</f>
        <v>1585.8732780949626</v>
      </c>
      <c r="U80" s="1"/>
      <c r="V80" s="1">
        <v>53.426600000000001</v>
      </c>
      <c r="W80" s="25">
        <v>35.286999999999999</v>
      </c>
      <c r="X80" s="24">
        <v>245.40899999999999</v>
      </c>
      <c r="Y80" s="24">
        <v>1</v>
      </c>
      <c r="Z80" s="24"/>
      <c r="AA80" s="21">
        <v>683.67899999999997</v>
      </c>
    </row>
    <row r="81" spans="1:27">
      <c r="A81" s="1"/>
      <c r="B81" s="1"/>
      <c r="C81" s="1"/>
      <c r="D81" s="1"/>
      <c r="E81" s="1"/>
      <c r="F81" s="1"/>
      <c r="G81" s="1"/>
      <c r="H81" s="30"/>
      <c r="I81" s="30"/>
      <c r="J81" s="30"/>
      <c r="K81" s="30"/>
      <c r="L81" s="30"/>
      <c r="M81" s="3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43"/>
      <c r="B82" s="1" t="s">
        <v>90</v>
      </c>
      <c r="C82" s="1" t="s">
        <v>89</v>
      </c>
      <c r="D82" s="1" t="s">
        <v>88</v>
      </c>
      <c r="E82" s="1" t="s">
        <v>87</v>
      </c>
      <c r="F82" s="1" t="s">
        <v>86</v>
      </c>
      <c r="G82" s="1"/>
      <c r="H82" s="29"/>
      <c r="I82" s="30" t="s">
        <v>90</v>
      </c>
      <c r="J82" s="30" t="s">
        <v>89</v>
      </c>
      <c r="K82" s="30" t="s">
        <v>88</v>
      </c>
      <c r="L82" s="30" t="s">
        <v>87</v>
      </c>
      <c r="M82" s="30" t="s">
        <v>86</v>
      </c>
      <c r="N82" s="1"/>
      <c r="O82" s="43"/>
      <c r="P82" s="1" t="s">
        <v>90</v>
      </c>
      <c r="Q82" s="1" t="s">
        <v>89</v>
      </c>
      <c r="R82" s="1" t="s">
        <v>88</v>
      </c>
      <c r="S82" s="1" t="s">
        <v>87</v>
      </c>
      <c r="T82" s="1" t="s">
        <v>86</v>
      </c>
      <c r="U82" s="1"/>
      <c r="V82" s="1"/>
      <c r="W82" s="1" t="s">
        <v>90</v>
      </c>
      <c r="X82" s="1" t="s">
        <v>89</v>
      </c>
      <c r="Y82" s="1" t="s">
        <v>88</v>
      </c>
      <c r="Z82" s="1" t="s">
        <v>87</v>
      </c>
      <c r="AA82" s="1" t="s">
        <v>86</v>
      </c>
    </row>
    <row r="83" spans="1:27">
      <c r="A83" s="1"/>
      <c r="B83" s="1"/>
      <c r="C83" s="1"/>
      <c r="D83" s="1"/>
      <c r="E83" s="1"/>
      <c r="F83" s="1"/>
      <c r="G83" s="1"/>
      <c r="H83" s="30"/>
      <c r="I83" s="30"/>
      <c r="J83" s="30"/>
      <c r="K83" s="30"/>
      <c r="L83" s="30"/>
      <c r="M83" s="3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 t="s">
        <v>107</v>
      </c>
      <c r="B84" s="1">
        <f t="shared" ref="B84:B96" si="32">B85/2</f>
        <v>3.90625E-2</v>
      </c>
      <c r="C84" s="1">
        <v>7</v>
      </c>
      <c r="D84" s="1">
        <f t="shared" ref="D84:D97" si="33" xml:space="preserve"> (B$100+B84+D$100-((B$100+B84+D$100)^2-4*D$100*B84)^0.5)*C$100/(2*D$100)</f>
        <v>2.2151965609460825E-2</v>
      </c>
      <c r="E84" s="1">
        <f t="shared" ref="E84:E97" si="34">(C84-A$100)-D84</f>
        <v>-97.560900688135135</v>
      </c>
      <c r="F84" s="1"/>
      <c r="G84" s="1"/>
      <c r="H84" s="30" t="s">
        <v>107</v>
      </c>
      <c r="I84" s="30">
        <v>3.9059999999999997E-2</v>
      </c>
      <c r="J84" s="30">
        <v>7</v>
      </c>
      <c r="K84" s="30">
        <v>0.11434</v>
      </c>
      <c r="L84" s="30">
        <v>-128.96</v>
      </c>
      <c r="M84" s="30"/>
      <c r="N84" s="1"/>
      <c r="O84" s="1" t="s">
        <v>107</v>
      </c>
      <c r="P84" s="1">
        <f t="shared" ref="P84:P96" si="35">P85/2</f>
        <v>3.90625E-2</v>
      </c>
      <c r="Q84" s="1">
        <v>7</v>
      </c>
      <c r="R84" s="1">
        <f t="shared" ref="R84:R97" si="36" xml:space="preserve"> (P$100+P84+R$100-((P$100+P84+R$100)^2-4*R$100*P84)^0.5)*Q$100/(2*R$100)</f>
        <v>8.6721529528025698E-2</v>
      </c>
      <c r="S84" s="1">
        <f t="shared" ref="S84:S97" si="37">(Q84-O$100)-R84</f>
        <v>-96.656761643405147</v>
      </c>
      <c r="T84" s="1"/>
      <c r="U84" s="1"/>
      <c r="V84" s="1" t="s">
        <v>107</v>
      </c>
      <c r="W84" s="1">
        <v>3.9059999999999997E-2</v>
      </c>
      <c r="X84" s="1">
        <v>7</v>
      </c>
      <c r="Y84" s="1">
        <v>0.13775999999999999</v>
      </c>
      <c r="Z84" s="1">
        <v>-68.121899999999997</v>
      </c>
      <c r="AA84" s="1"/>
    </row>
    <row r="85" spans="1:27">
      <c r="A85" s="1" t="s">
        <v>92</v>
      </c>
      <c r="B85" s="1">
        <f t="shared" si="32"/>
        <v>7.8125E-2</v>
      </c>
      <c r="C85" s="40">
        <v>96.5</v>
      </c>
      <c r="D85" s="1">
        <f t="shared" si="33"/>
        <v>4.4296581522912923E-2</v>
      </c>
      <c r="E85" s="1">
        <f t="shared" si="34"/>
        <v>-8.0830453040485803</v>
      </c>
      <c r="F85" s="1">
        <f t="shared" ref="F85:F97" si="38">E85*E85</f>
        <v>65.335621387301813</v>
      </c>
      <c r="G85" s="1"/>
      <c r="H85" s="30" t="s">
        <v>92</v>
      </c>
      <c r="I85" s="30">
        <v>7.8130000000000005E-2</v>
      </c>
      <c r="J85" s="44">
        <v>98.5</v>
      </c>
      <c r="K85" s="30">
        <v>0.22844</v>
      </c>
      <c r="L85" s="30">
        <v>-37.576999999999998</v>
      </c>
      <c r="M85" s="30">
        <v>1412.06</v>
      </c>
      <c r="N85" s="1"/>
      <c r="O85" s="1" t="s">
        <v>92</v>
      </c>
      <c r="P85" s="1">
        <f t="shared" si="35"/>
        <v>7.8125E-2</v>
      </c>
      <c r="Q85" s="1">
        <v>87</v>
      </c>
      <c r="R85" s="1">
        <f t="shared" si="36"/>
        <v>0.17337471502097102</v>
      </c>
      <c r="S85" s="1">
        <f t="shared" si="37"/>
        <v>-16.743414828898096</v>
      </c>
      <c r="T85" s="1">
        <f t="shared" ref="T85:T97" si="39">S85*S85</f>
        <v>280.34194013256467</v>
      </c>
      <c r="U85" s="1"/>
      <c r="V85" s="1" t="s">
        <v>92</v>
      </c>
      <c r="W85" s="1">
        <v>7.8130000000000005E-2</v>
      </c>
      <c r="X85" s="1">
        <v>68</v>
      </c>
      <c r="Y85" s="1">
        <v>0.27531</v>
      </c>
      <c r="Z85" s="1">
        <v>-7.2594399999999997</v>
      </c>
      <c r="AA85" s="1">
        <v>52.6995</v>
      </c>
    </row>
    <row r="86" spans="1:27">
      <c r="A86" s="1"/>
      <c r="B86" s="1">
        <f t="shared" si="32"/>
        <v>0.15625</v>
      </c>
      <c r="C86" s="40">
        <v>116.5</v>
      </c>
      <c r="D86" s="1">
        <f t="shared" si="33"/>
        <v>8.8563778816164396E-2</v>
      </c>
      <c r="E86" s="1">
        <f t="shared" si="34"/>
        <v>11.872687498658168</v>
      </c>
      <c r="F86" s="1">
        <f t="shared" si="38"/>
        <v>140.96070844079395</v>
      </c>
      <c r="G86" s="1"/>
      <c r="H86" s="30"/>
      <c r="I86" s="30">
        <v>0.15625</v>
      </c>
      <c r="J86" s="44">
        <v>157.5</v>
      </c>
      <c r="K86" s="30">
        <v>0.45591999999999999</v>
      </c>
      <c r="L86" s="30">
        <v>21.1951</v>
      </c>
      <c r="M86" s="30">
        <v>449.23399999999998</v>
      </c>
      <c r="N86" s="1"/>
      <c r="O86" s="1"/>
      <c r="P86" s="1">
        <f t="shared" si="35"/>
        <v>0.15625</v>
      </c>
      <c r="Q86" s="1">
        <v>95.5</v>
      </c>
      <c r="R86" s="1">
        <f t="shared" si="36"/>
        <v>0.34647637348691712</v>
      </c>
      <c r="S86" s="1">
        <f t="shared" si="37"/>
        <v>-8.4165164873640439</v>
      </c>
      <c r="T86" s="1">
        <f t="shared" si="39"/>
        <v>70.837749782070787</v>
      </c>
      <c r="U86" s="1"/>
      <c r="V86" s="1"/>
      <c r="W86" s="1">
        <v>0.15625</v>
      </c>
      <c r="X86" s="1">
        <v>76.5</v>
      </c>
      <c r="Y86" s="1">
        <v>0.54981000000000002</v>
      </c>
      <c r="Z86" s="1">
        <v>0.96604999999999996</v>
      </c>
      <c r="AA86" s="1">
        <v>0.93325999999999998</v>
      </c>
    </row>
    <row r="87" spans="1:27">
      <c r="A87" s="1"/>
      <c r="B87" s="1">
        <f t="shared" si="32"/>
        <v>0.3125</v>
      </c>
      <c r="C87" s="40">
        <v>103</v>
      </c>
      <c r="D87" s="1">
        <f t="shared" si="33"/>
        <v>0.17701013709388416</v>
      </c>
      <c r="E87" s="1">
        <f t="shared" si="34"/>
        <v>-1.7157588596195519</v>
      </c>
      <c r="F87" s="1">
        <f t="shared" si="38"/>
        <v>2.9438284643629853</v>
      </c>
      <c r="G87" s="1"/>
      <c r="H87" s="30"/>
      <c r="I87" s="30">
        <v>0.3125</v>
      </c>
      <c r="J87" s="44">
        <v>118.5</v>
      </c>
      <c r="K87" s="30">
        <v>0.90800000000000003</v>
      </c>
      <c r="L87" s="30">
        <v>-18.257000000000001</v>
      </c>
      <c r="M87" s="30">
        <v>333.31599999999997</v>
      </c>
      <c r="N87" s="1"/>
      <c r="O87" s="1"/>
      <c r="P87" s="1">
        <f t="shared" si="35"/>
        <v>0.3125</v>
      </c>
      <c r="Q87" s="1">
        <v>108.5</v>
      </c>
      <c r="R87" s="1">
        <f t="shared" si="36"/>
        <v>0.69186307062674268</v>
      </c>
      <c r="S87" s="1">
        <f t="shared" si="37"/>
        <v>4.2380968154961307</v>
      </c>
      <c r="T87" s="1">
        <f t="shared" si="39"/>
        <v>17.961464617518445</v>
      </c>
      <c r="U87" s="1"/>
      <c r="V87" s="1"/>
      <c r="W87" s="1">
        <v>0.3125</v>
      </c>
      <c r="X87" s="1">
        <v>79</v>
      </c>
      <c r="Y87" s="1">
        <v>1.09642</v>
      </c>
      <c r="Z87" s="1">
        <v>2.9194399999999998</v>
      </c>
      <c r="AA87" s="1">
        <v>8.5231499999999993</v>
      </c>
    </row>
    <row r="88" spans="1:27">
      <c r="A88" s="1"/>
      <c r="B88" s="1">
        <f t="shared" si="32"/>
        <v>0.625</v>
      </c>
      <c r="C88" s="40">
        <v>108.5</v>
      </c>
      <c r="D88" s="1">
        <f t="shared" si="33"/>
        <v>0.35355152089168707</v>
      </c>
      <c r="E88" s="1">
        <f t="shared" si="34"/>
        <v>3.6076997565826452</v>
      </c>
      <c r="F88" s="1">
        <f t="shared" si="38"/>
        <v>13.015497533646478</v>
      </c>
      <c r="G88" s="1"/>
      <c r="H88" s="30"/>
      <c r="I88" s="30">
        <v>0.625</v>
      </c>
      <c r="J88" s="44">
        <v>144</v>
      </c>
      <c r="K88" s="30">
        <v>1.80081</v>
      </c>
      <c r="L88" s="30">
        <v>6.3502599999999996</v>
      </c>
      <c r="M88" s="30">
        <v>40.325699999999998</v>
      </c>
      <c r="N88" s="1"/>
      <c r="O88" s="1"/>
      <c r="P88" s="1">
        <f t="shared" si="35"/>
        <v>0.625</v>
      </c>
      <c r="Q88" s="1">
        <v>105</v>
      </c>
      <c r="R88" s="1">
        <f t="shared" si="36"/>
        <v>1.3793877251551137</v>
      </c>
      <c r="S88" s="1">
        <f t="shared" si="37"/>
        <v>5.0572160967759405E-2</v>
      </c>
      <c r="T88" s="1">
        <f t="shared" si="39"/>
        <v>2.557543464948968E-3</v>
      </c>
      <c r="U88" s="1"/>
      <c r="V88" s="1"/>
      <c r="W88" s="1">
        <v>0.625</v>
      </c>
      <c r="X88" s="1">
        <v>76.5</v>
      </c>
      <c r="Y88" s="1">
        <v>2.1801499999999998</v>
      </c>
      <c r="Z88" s="1">
        <v>-0.66427999999999998</v>
      </c>
      <c r="AA88" s="1">
        <v>0.44127</v>
      </c>
    </row>
    <row r="89" spans="1:27">
      <c r="A89" s="1"/>
      <c r="B89" s="1">
        <f t="shared" si="32"/>
        <v>1.25</v>
      </c>
      <c r="C89" s="1">
        <v>89</v>
      </c>
      <c r="D89" s="1">
        <f t="shared" si="33"/>
        <v>0.70523542547775231</v>
      </c>
      <c r="E89" s="1">
        <f t="shared" si="34"/>
        <v>-16.24398414800342</v>
      </c>
      <c r="F89" s="1">
        <f t="shared" si="38"/>
        <v>263.86702100058642</v>
      </c>
      <c r="G89" s="1"/>
      <c r="H89" s="30"/>
      <c r="I89" s="30">
        <v>1.25</v>
      </c>
      <c r="J89" s="30">
        <v>156.5</v>
      </c>
      <c r="K89" s="30">
        <v>3.5423300000000002</v>
      </c>
      <c r="L89" s="30">
        <v>17.108699999999999</v>
      </c>
      <c r="M89" s="30">
        <v>292.709</v>
      </c>
      <c r="N89" s="1"/>
      <c r="O89" s="1"/>
      <c r="P89" s="1">
        <f t="shared" si="35"/>
        <v>1.25</v>
      </c>
      <c r="Q89" s="1">
        <v>114.5</v>
      </c>
      <c r="R89" s="1">
        <f t="shared" si="36"/>
        <v>2.7415823661987209</v>
      </c>
      <c r="S89" s="1">
        <f t="shared" si="37"/>
        <v>8.1883775199241526</v>
      </c>
      <c r="T89" s="1">
        <f t="shared" si="39"/>
        <v>67.04952640879921</v>
      </c>
      <c r="U89" s="1"/>
      <c r="V89" s="1"/>
      <c r="W89" s="1">
        <v>1.25</v>
      </c>
      <c r="X89" s="1">
        <v>83</v>
      </c>
      <c r="Y89" s="1">
        <v>4.3103499999999997</v>
      </c>
      <c r="Z89" s="1">
        <v>3.7055199999999999</v>
      </c>
      <c r="AA89" s="1">
        <v>13.7309</v>
      </c>
    </row>
    <row r="90" spans="1:27">
      <c r="A90" s="1"/>
      <c r="B90" s="1">
        <f t="shared" si="32"/>
        <v>2.5</v>
      </c>
      <c r="C90" s="1">
        <v>112</v>
      </c>
      <c r="D90" s="1">
        <f t="shared" si="33"/>
        <v>1.4030590211418648</v>
      </c>
      <c r="E90" s="1">
        <f t="shared" si="34"/>
        <v>6.0581922563324673</v>
      </c>
      <c r="F90" s="1">
        <f t="shared" si="38"/>
        <v>36.701693414686673</v>
      </c>
      <c r="G90" s="1"/>
      <c r="H90" s="30"/>
      <c r="I90" s="30">
        <v>2.5</v>
      </c>
      <c r="J90" s="30">
        <v>147</v>
      </c>
      <c r="K90" s="30">
        <v>6.8585500000000001</v>
      </c>
      <c r="L90" s="30">
        <v>4.29251</v>
      </c>
      <c r="M90" s="30">
        <v>18.425699999999999</v>
      </c>
      <c r="N90" s="1"/>
      <c r="O90" s="1"/>
      <c r="P90" s="1">
        <f t="shared" si="35"/>
        <v>2.5</v>
      </c>
      <c r="Q90" s="1">
        <v>110.5</v>
      </c>
      <c r="R90" s="1">
        <f t="shared" si="36"/>
        <v>5.4156499133508511</v>
      </c>
      <c r="S90" s="1">
        <f t="shared" si="37"/>
        <v>1.514309972772022</v>
      </c>
      <c r="T90" s="1">
        <f t="shared" si="39"/>
        <v>2.293134693636802</v>
      </c>
      <c r="U90" s="1"/>
      <c r="V90" s="1"/>
      <c r="W90" s="1">
        <v>2.5</v>
      </c>
      <c r="X90" s="1">
        <v>82.5</v>
      </c>
      <c r="Y90" s="1">
        <v>8.4274900000000006</v>
      </c>
      <c r="Z90" s="1">
        <v>-0.91161999999999999</v>
      </c>
      <c r="AA90" s="1">
        <v>0.83104999999999996</v>
      </c>
    </row>
    <row r="91" spans="1:27">
      <c r="A91" s="1"/>
      <c r="B91" s="1">
        <f t="shared" si="32"/>
        <v>5</v>
      </c>
      <c r="C91" s="35">
        <v>111</v>
      </c>
      <c r="D91" s="1">
        <f t="shared" si="33"/>
        <v>2.7769313396200106</v>
      </c>
      <c r="E91" s="1">
        <f t="shared" si="34"/>
        <v>3.6843199378543217</v>
      </c>
      <c r="F91" s="1">
        <f t="shared" si="38"/>
        <v>13.574213404470873</v>
      </c>
      <c r="G91" s="1"/>
      <c r="H91" s="30"/>
      <c r="I91" s="30">
        <v>5</v>
      </c>
      <c r="J91" s="36">
        <v>165.5</v>
      </c>
      <c r="K91" s="30">
        <v>12.892300000000001</v>
      </c>
      <c r="L91" s="30">
        <v>16.758800000000001</v>
      </c>
      <c r="M91" s="30">
        <v>280.85700000000003</v>
      </c>
      <c r="N91" s="1"/>
      <c r="O91" s="1"/>
      <c r="P91" s="1">
        <f t="shared" si="35"/>
        <v>5</v>
      </c>
      <c r="Q91" s="1">
        <v>126</v>
      </c>
      <c r="R91" s="1">
        <f t="shared" si="36"/>
        <v>10.570885678917861</v>
      </c>
      <c r="S91" s="1">
        <f t="shared" si="37"/>
        <v>11.859074207205012</v>
      </c>
      <c r="T91" s="1">
        <f t="shared" si="39"/>
        <v>140.63764105199519</v>
      </c>
      <c r="U91" s="1"/>
      <c r="V91" s="1"/>
      <c r="W91" s="1">
        <v>5</v>
      </c>
      <c r="X91" s="1">
        <v>92.5</v>
      </c>
      <c r="Y91" s="1">
        <v>16.1311</v>
      </c>
      <c r="Z91" s="1">
        <v>1.38479</v>
      </c>
      <c r="AA91" s="1">
        <v>1.9176500000000001</v>
      </c>
    </row>
    <row r="92" spans="1:27">
      <c r="A92" s="1"/>
      <c r="B92" s="1">
        <f t="shared" si="32"/>
        <v>10</v>
      </c>
      <c r="C92" s="35">
        <v>106</v>
      </c>
      <c r="D92" s="1">
        <f t="shared" si="33"/>
        <v>5.4406704469795608</v>
      </c>
      <c r="E92" s="1">
        <f t="shared" si="34"/>
        <v>-3.9794191695052286</v>
      </c>
      <c r="F92" s="1">
        <f t="shared" si="38"/>
        <v>15.835776926625684</v>
      </c>
      <c r="G92" s="1"/>
      <c r="H92" s="30"/>
      <c r="I92" s="30">
        <v>10</v>
      </c>
      <c r="J92" s="36">
        <v>154.5</v>
      </c>
      <c r="K92" s="30">
        <v>23.007100000000001</v>
      </c>
      <c r="L92" s="30">
        <v>-4.3560999999999996</v>
      </c>
      <c r="M92" s="30">
        <v>18.9754</v>
      </c>
      <c r="N92" s="1"/>
      <c r="O92" s="1"/>
      <c r="P92" s="1">
        <f t="shared" si="35"/>
        <v>10</v>
      </c>
      <c r="Q92" s="1">
        <v>126</v>
      </c>
      <c r="R92" s="1">
        <f t="shared" si="36"/>
        <v>20.171191157750084</v>
      </c>
      <c r="S92" s="1">
        <f t="shared" si="37"/>
        <v>2.2587687283727895</v>
      </c>
      <c r="T92" s="1">
        <f t="shared" si="39"/>
        <v>5.1020361682748288</v>
      </c>
      <c r="U92" s="1"/>
      <c r="V92" s="1"/>
      <c r="W92" s="1">
        <v>10</v>
      </c>
      <c r="X92" s="1">
        <v>105</v>
      </c>
      <c r="Y92" s="1">
        <v>29.705400000000001</v>
      </c>
      <c r="Z92" s="1">
        <v>0.31047999999999998</v>
      </c>
      <c r="AA92" s="1">
        <v>9.64E-2</v>
      </c>
    </row>
    <row r="93" spans="1:27">
      <c r="A93" s="1"/>
      <c r="B93" s="1">
        <f t="shared" si="32"/>
        <v>20</v>
      </c>
      <c r="C93" s="35">
        <v>118</v>
      </c>
      <c r="D93" s="1">
        <f t="shared" si="33"/>
        <v>10.455074315837177</v>
      </c>
      <c r="E93" s="1">
        <f t="shared" si="34"/>
        <v>3.0061769616371556</v>
      </c>
      <c r="F93" s="1">
        <f t="shared" si="38"/>
        <v>9.0370999246780013</v>
      </c>
      <c r="G93" s="1"/>
      <c r="H93" s="30"/>
      <c r="I93" s="30">
        <v>20</v>
      </c>
      <c r="J93" s="36">
        <v>177.5</v>
      </c>
      <c r="K93" s="30">
        <v>37.823</v>
      </c>
      <c r="L93" s="30">
        <v>3.82809</v>
      </c>
      <c r="M93" s="30">
        <v>14.654299999999999</v>
      </c>
      <c r="N93" s="1"/>
      <c r="O93" s="1"/>
      <c r="P93" s="1">
        <f t="shared" si="35"/>
        <v>20</v>
      </c>
      <c r="Q93" s="1">
        <v>141.5</v>
      </c>
      <c r="R93" s="1">
        <f t="shared" si="36"/>
        <v>36.946295878207579</v>
      </c>
      <c r="S93" s="1">
        <f t="shared" si="37"/>
        <v>0.98366400791529429</v>
      </c>
      <c r="T93" s="1">
        <f t="shared" si="39"/>
        <v>0.96759488046798015</v>
      </c>
      <c r="U93" s="1"/>
      <c r="V93" s="1"/>
      <c r="W93" s="1">
        <v>20</v>
      </c>
      <c r="X93" s="1">
        <v>129</v>
      </c>
      <c r="Y93" s="1">
        <v>51.261000000000003</v>
      </c>
      <c r="Z93" s="1">
        <v>2.7548900000000001</v>
      </c>
      <c r="AA93" s="1">
        <v>7.5894399999999997</v>
      </c>
    </row>
    <row r="94" spans="1:27">
      <c r="A94" s="1"/>
      <c r="B94" s="1">
        <f t="shared" si="32"/>
        <v>40</v>
      </c>
      <c r="C94" s="35">
        <v>132</v>
      </c>
      <c r="D94" s="1">
        <f t="shared" si="33"/>
        <v>19.390324934314265</v>
      </c>
      <c r="E94" s="1">
        <f t="shared" si="34"/>
        <v>8.0709263431600675</v>
      </c>
      <c r="F94" s="1">
        <f t="shared" si="38"/>
        <v>65.139852036715141</v>
      </c>
      <c r="G94" s="1"/>
      <c r="H94" s="30"/>
      <c r="I94" s="30">
        <v>40</v>
      </c>
      <c r="J94" s="36">
        <v>174.5</v>
      </c>
      <c r="K94" s="30">
        <v>55.701500000000003</v>
      </c>
      <c r="L94" s="30">
        <v>-17.05</v>
      </c>
      <c r="M94" s="30">
        <v>290.71800000000002</v>
      </c>
      <c r="N94" s="1"/>
      <c r="O94" s="1"/>
      <c r="P94" s="1">
        <f t="shared" si="35"/>
        <v>40</v>
      </c>
      <c r="Q94" s="1">
        <v>165.5</v>
      </c>
      <c r="R94" s="1">
        <f t="shared" si="36"/>
        <v>63.229216155999296</v>
      </c>
      <c r="S94" s="1">
        <f t="shared" si="37"/>
        <v>-1.2992562698764232</v>
      </c>
      <c r="T94" s="1">
        <f t="shared" si="39"/>
        <v>1.688066854813197</v>
      </c>
      <c r="U94" s="1"/>
      <c r="V94" s="1"/>
      <c r="W94" s="1">
        <v>40</v>
      </c>
      <c r="X94" s="1">
        <v>149.5</v>
      </c>
      <c r="Y94" s="1">
        <v>80.383799999999994</v>
      </c>
      <c r="Z94" s="1">
        <v>-5.8679199999999998</v>
      </c>
      <c r="AA94" s="1">
        <v>34.432499999999997</v>
      </c>
    </row>
    <row r="95" spans="1:27">
      <c r="A95" s="1"/>
      <c r="B95" s="1">
        <f t="shared" si="32"/>
        <v>80</v>
      </c>
      <c r="C95" s="35">
        <v>131</v>
      </c>
      <c r="D95" s="1">
        <f t="shared" si="33"/>
        <v>33.855947506610143</v>
      </c>
      <c r="E95" s="1">
        <f t="shared" si="34"/>
        <v>-7.3946962291358105</v>
      </c>
      <c r="F95" s="1">
        <f t="shared" si="38"/>
        <v>54.681532321195377</v>
      </c>
      <c r="G95" s="1"/>
      <c r="H95" s="30"/>
      <c r="I95" s="30">
        <v>80</v>
      </c>
      <c r="J95" s="36">
        <v>208.5</v>
      </c>
      <c r="K95" s="30">
        <v>72.8279</v>
      </c>
      <c r="L95" s="30">
        <v>-0.17680000000000001</v>
      </c>
      <c r="M95" s="30">
        <v>3.1260000000000003E-2</v>
      </c>
      <c r="N95" s="1"/>
      <c r="O95" s="1"/>
      <c r="P95" s="1">
        <f t="shared" si="35"/>
        <v>80</v>
      </c>
      <c r="Q95" s="1">
        <v>197</v>
      </c>
      <c r="R95" s="1">
        <f t="shared" si="36"/>
        <v>98.089977537039402</v>
      </c>
      <c r="S95" s="1">
        <f t="shared" si="37"/>
        <v>-4.6600176509165294</v>
      </c>
      <c r="T95" s="1">
        <f t="shared" si="39"/>
        <v>21.71576450685361</v>
      </c>
      <c r="U95" s="1"/>
      <c r="V95" s="1"/>
      <c r="W95" s="1">
        <v>80</v>
      </c>
      <c r="X95" s="1">
        <v>189</v>
      </c>
      <c r="Y95" s="1">
        <v>112.15600000000001</v>
      </c>
      <c r="Z95" s="1">
        <v>1.8601399999999999</v>
      </c>
      <c r="AA95" s="1">
        <v>3.4601199999999999</v>
      </c>
    </row>
    <row r="96" spans="1:27">
      <c r="A96" s="1"/>
      <c r="B96" s="1">
        <f t="shared" si="32"/>
        <v>160</v>
      </c>
      <c r="C96" s="35">
        <v>159</v>
      </c>
      <c r="D96" s="1">
        <f t="shared" si="33"/>
        <v>53.988632980989912</v>
      </c>
      <c r="E96" s="1">
        <f t="shared" si="34"/>
        <v>0.47261829648441989</v>
      </c>
      <c r="F96" s="1">
        <f t="shared" si="38"/>
        <v>0.22336805417183503</v>
      </c>
      <c r="G96" s="1"/>
      <c r="H96" s="30"/>
      <c r="I96" s="30">
        <v>160</v>
      </c>
      <c r="J96" s="36">
        <v>237</v>
      </c>
      <c r="K96" s="30">
        <v>85.968900000000005</v>
      </c>
      <c r="L96" s="30">
        <v>15.1822</v>
      </c>
      <c r="M96" s="30">
        <v>230.499</v>
      </c>
      <c r="N96" s="1"/>
      <c r="O96" s="1"/>
      <c r="P96" s="1">
        <f t="shared" si="35"/>
        <v>160</v>
      </c>
      <c r="Q96" s="1">
        <v>240</v>
      </c>
      <c r="R96" s="1">
        <f t="shared" si="36"/>
        <v>135.34317844215525</v>
      </c>
      <c r="S96" s="1">
        <f t="shared" si="37"/>
        <v>1.0867814439676238</v>
      </c>
      <c r="T96" s="1">
        <f t="shared" si="39"/>
        <v>1.1810939069523534</v>
      </c>
      <c r="U96" s="1"/>
      <c r="V96" s="1"/>
      <c r="W96" s="1">
        <v>160</v>
      </c>
      <c r="X96" s="1">
        <v>217</v>
      </c>
      <c r="Y96" s="1">
        <v>139.65100000000001</v>
      </c>
      <c r="Z96" s="1">
        <v>2.3648899999999999</v>
      </c>
      <c r="AA96" s="1">
        <v>5.5927100000000003</v>
      </c>
    </row>
    <row r="97" spans="1:27">
      <c r="A97" s="1"/>
      <c r="B97" s="1">
        <v>320</v>
      </c>
      <c r="C97" s="35">
        <v>182</v>
      </c>
      <c r="D97" s="1">
        <f t="shared" si="33"/>
        <v>76.815205322304621</v>
      </c>
      <c r="E97" s="1">
        <f t="shared" si="34"/>
        <v>0.64604595516971131</v>
      </c>
      <c r="F97" s="1">
        <f t="shared" si="38"/>
        <v>0.41737537619114462</v>
      </c>
      <c r="G97" s="1"/>
      <c r="H97" s="30"/>
      <c r="I97" s="30">
        <v>320</v>
      </c>
      <c r="J97" s="36">
        <v>223</v>
      </c>
      <c r="K97" s="30">
        <v>94.448800000000006</v>
      </c>
      <c r="L97" s="30">
        <v>-7.2976999999999999</v>
      </c>
      <c r="M97" s="30">
        <v>53.256700000000002</v>
      </c>
      <c r="N97" s="1"/>
      <c r="O97" s="1"/>
      <c r="P97" s="1">
        <v>320</v>
      </c>
      <c r="Q97" s="1">
        <v>271.5</v>
      </c>
      <c r="R97" s="1">
        <f t="shared" si="36"/>
        <v>166.98946953001047</v>
      </c>
      <c r="S97" s="1">
        <f t="shared" si="37"/>
        <v>0.94049035611240583</v>
      </c>
      <c r="T97" s="1">
        <f t="shared" si="39"/>
        <v>0.88452210994043989</v>
      </c>
      <c r="U97" s="1"/>
      <c r="V97" s="1"/>
      <c r="W97" s="1">
        <v>320</v>
      </c>
      <c r="X97" s="1">
        <v>232.5</v>
      </c>
      <c r="Y97" s="1">
        <v>159.078</v>
      </c>
      <c r="Z97" s="1">
        <v>-1.56185</v>
      </c>
      <c r="AA97" s="1">
        <v>2.4393799999999999</v>
      </c>
    </row>
    <row r="98" spans="1:27">
      <c r="A98" s="1"/>
      <c r="B98" s="1"/>
      <c r="C98" s="1"/>
      <c r="D98" s="1"/>
      <c r="E98" s="1"/>
      <c r="F98" s="1"/>
      <c r="G98" s="1"/>
      <c r="H98" s="30"/>
      <c r="I98" s="30"/>
      <c r="J98" s="30"/>
      <c r="K98" s="30"/>
      <c r="L98" s="30"/>
      <c r="M98" s="3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>
      <c r="A99" s="1" t="s">
        <v>104</v>
      </c>
      <c r="B99" s="1" t="s">
        <v>82</v>
      </c>
      <c r="C99" s="24" t="s">
        <v>81</v>
      </c>
      <c r="D99" s="24" t="s">
        <v>80</v>
      </c>
      <c r="E99" s="24"/>
      <c r="F99" s="1" t="s">
        <v>79</v>
      </c>
      <c r="G99" s="1"/>
      <c r="H99" s="30" t="s">
        <v>104</v>
      </c>
      <c r="I99" s="30" t="s">
        <v>82</v>
      </c>
      <c r="J99" s="38" t="s">
        <v>81</v>
      </c>
      <c r="K99" s="38" t="s">
        <v>123</v>
      </c>
      <c r="L99" s="38"/>
      <c r="M99" s="30" t="s">
        <v>79</v>
      </c>
      <c r="N99" s="1"/>
      <c r="O99" s="1" t="s">
        <v>104</v>
      </c>
      <c r="P99" s="1" t="s">
        <v>82</v>
      </c>
      <c r="Q99" s="24" t="s">
        <v>81</v>
      </c>
      <c r="R99" s="24" t="s">
        <v>80</v>
      </c>
      <c r="S99" s="24"/>
      <c r="T99" s="1" t="s">
        <v>79</v>
      </c>
      <c r="U99" s="1"/>
      <c r="V99" s="1" t="s">
        <v>104</v>
      </c>
      <c r="W99" s="1" t="s">
        <v>82</v>
      </c>
      <c r="X99" s="24" t="s">
        <v>81</v>
      </c>
      <c r="Y99" s="27" t="s">
        <v>122</v>
      </c>
      <c r="Z99" s="24"/>
      <c r="AA99" s="1" t="s">
        <v>79</v>
      </c>
    </row>
    <row r="100" spans="1:27" ht="16">
      <c r="A100" s="1">
        <v>104.53874872252567</v>
      </c>
      <c r="B100" s="25">
        <v>233.38658079302178</v>
      </c>
      <c r="C100" s="24">
        <v>132.94041848906281</v>
      </c>
      <c r="D100" s="24">
        <v>1</v>
      </c>
      <c r="E100" s="24"/>
      <c r="F100" s="21">
        <f>SUM(F84:F98)</f>
        <v>681.73358828542655</v>
      </c>
      <c r="G100" s="1"/>
      <c r="H100" s="30">
        <v>135.84899999999999</v>
      </c>
      <c r="I100" s="39">
        <v>34.741100000000003</v>
      </c>
      <c r="J100" s="38">
        <v>104.732</v>
      </c>
      <c r="K100" s="38">
        <v>1</v>
      </c>
      <c r="L100" s="38"/>
      <c r="M100" s="31">
        <v>3435.06</v>
      </c>
      <c r="N100" s="1"/>
      <c r="O100" s="1">
        <v>103.57004011387713</v>
      </c>
      <c r="P100" s="25">
        <v>97.045339462485458</v>
      </c>
      <c r="Q100" s="24">
        <v>217.75346748828937</v>
      </c>
      <c r="R100" s="24">
        <v>1</v>
      </c>
      <c r="S100" s="24"/>
      <c r="T100" s="21">
        <f>SUM(T84:T98)</f>
        <v>610.66309265735254</v>
      </c>
      <c r="U100" s="1"/>
      <c r="V100" s="1">
        <v>74.984129999999993</v>
      </c>
      <c r="W100" s="25">
        <v>51.325000000000003</v>
      </c>
      <c r="X100" s="24">
        <v>184.661</v>
      </c>
      <c r="Y100" s="24">
        <v>1</v>
      </c>
      <c r="Z100" s="24"/>
      <c r="AA100" s="21">
        <v>132.68700000000001</v>
      </c>
    </row>
    <row r="101" spans="1:27">
      <c r="A101" s="1"/>
      <c r="B101" s="1"/>
      <c r="C101" s="1"/>
      <c r="D101" s="1"/>
      <c r="E101" s="1"/>
      <c r="F101" s="1"/>
      <c r="G101" s="1"/>
      <c r="H101" s="30"/>
      <c r="I101" s="30"/>
      <c r="J101" s="30"/>
      <c r="K101" s="30"/>
      <c r="L101" s="30"/>
      <c r="M101" s="3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28"/>
      <c r="B102" s="1" t="s">
        <v>90</v>
      </c>
      <c r="C102" s="1" t="s">
        <v>89</v>
      </c>
      <c r="D102" s="1" t="s">
        <v>88</v>
      </c>
      <c r="E102" s="1" t="s">
        <v>87</v>
      </c>
      <c r="F102" s="1" t="s">
        <v>86</v>
      </c>
      <c r="G102" s="1"/>
      <c r="H102" s="29"/>
      <c r="I102" s="30" t="s">
        <v>90</v>
      </c>
      <c r="J102" s="30" t="s">
        <v>89</v>
      </c>
      <c r="K102" s="30" t="s">
        <v>88</v>
      </c>
      <c r="L102" s="30" t="s">
        <v>87</v>
      </c>
      <c r="M102" s="30" t="s">
        <v>86</v>
      </c>
      <c r="N102" s="1"/>
      <c r="O102" s="28"/>
      <c r="P102" s="1" t="s">
        <v>90</v>
      </c>
      <c r="Q102" s="1" t="s">
        <v>89</v>
      </c>
      <c r="R102" s="1" t="s">
        <v>88</v>
      </c>
      <c r="S102" s="1" t="s">
        <v>87</v>
      </c>
      <c r="T102" s="1" t="s">
        <v>86</v>
      </c>
      <c r="U102" s="1"/>
      <c r="V102" s="1"/>
      <c r="W102" s="1" t="s">
        <v>90</v>
      </c>
      <c r="X102" s="1" t="s">
        <v>89</v>
      </c>
      <c r="Y102" s="1" t="s">
        <v>88</v>
      </c>
      <c r="Z102" s="1" t="s">
        <v>87</v>
      </c>
      <c r="AA102" s="1" t="s">
        <v>86</v>
      </c>
    </row>
    <row r="103" spans="1:27">
      <c r="A103" s="1"/>
      <c r="B103" s="1"/>
      <c r="C103" s="1"/>
      <c r="D103" s="1"/>
      <c r="E103" s="1"/>
      <c r="F103" s="1"/>
      <c r="G103" s="1"/>
      <c r="H103" s="30"/>
      <c r="I103" s="30"/>
      <c r="J103" s="30"/>
      <c r="K103" s="30"/>
      <c r="L103" s="30"/>
      <c r="M103" s="3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 t="s">
        <v>108</v>
      </c>
      <c r="B104" s="1">
        <f t="shared" ref="B104:B116" si="40">B105/2</f>
        <v>3.90625E-2</v>
      </c>
      <c r="C104" s="1">
        <v>0</v>
      </c>
      <c r="D104" s="1">
        <f t="shared" ref="D104:D117" si="41" xml:space="preserve"> (B$120+B104+D$120-((B$120+B104+D$120)^2-4*D$120*B104)^0.5)*C$120/(2*D$120)</f>
        <v>4.257973909981471E-2</v>
      </c>
      <c r="E104" s="1">
        <f t="shared" ref="E104:E117" si="42">(C104-A$120)-D104</f>
        <v>-98.003782757074944</v>
      </c>
      <c r="F104" s="1"/>
      <c r="G104" s="1"/>
      <c r="H104" s="30" t="s">
        <v>108</v>
      </c>
      <c r="I104" s="30">
        <v>3.9059999999999997E-2</v>
      </c>
      <c r="J104" s="30">
        <v>0</v>
      </c>
      <c r="K104" s="30">
        <v>0.16264000000000001</v>
      </c>
      <c r="L104" s="30">
        <v>-104.28</v>
      </c>
      <c r="M104" s="30"/>
      <c r="N104" s="1"/>
      <c r="O104" s="1" t="s">
        <v>108</v>
      </c>
      <c r="P104" s="1">
        <f t="shared" ref="P104:P116" si="43">P105/2</f>
        <v>3.90625E-2</v>
      </c>
      <c r="Q104" s="1">
        <v>0</v>
      </c>
      <c r="R104" s="1">
        <f t="shared" ref="R104:R117" si="44" xml:space="preserve"> (P$120+P104+R$120-((P$120+P104+R$120)^2-4*R$120*P104)^0.5)*Q$120/(2*R$120)</f>
        <v>0.13827290865225964</v>
      </c>
      <c r="S104" s="1">
        <f t="shared" ref="S104:S117" si="45">(Q104-O$120)-R104</f>
        <v>-89.141840220031341</v>
      </c>
      <c r="T104" s="1"/>
      <c r="U104" s="1"/>
      <c r="V104" s="1" t="s">
        <v>108</v>
      </c>
      <c r="W104" s="1">
        <v>3.9059999999999997E-2</v>
      </c>
      <c r="X104" s="1">
        <v>0</v>
      </c>
      <c r="Y104" s="1">
        <v>0.15740999999999999</v>
      </c>
      <c r="Z104" s="1">
        <v>-73.586399999999998</v>
      </c>
      <c r="AA104" s="1"/>
    </row>
    <row r="105" spans="1:27">
      <c r="A105" s="1"/>
      <c r="B105" s="1">
        <f t="shared" si="40"/>
        <v>7.8125E-2</v>
      </c>
      <c r="C105" s="42">
        <v>95.5</v>
      </c>
      <c r="D105" s="1">
        <f t="shared" si="41"/>
        <v>8.5133945797078475E-2</v>
      </c>
      <c r="E105" s="1">
        <f t="shared" si="42"/>
        <v>-2.5463369637722013</v>
      </c>
      <c r="F105" s="1">
        <f t="shared" ref="F105:F117" si="46">E105*E105</f>
        <v>6.4838319330726328</v>
      </c>
      <c r="G105" s="1"/>
      <c r="H105" s="30"/>
      <c r="I105" s="30">
        <v>7.8130000000000005E-2</v>
      </c>
      <c r="J105" s="30">
        <v>64</v>
      </c>
      <c r="K105" s="30">
        <v>0.32497999999999999</v>
      </c>
      <c r="L105" s="30">
        <v>-40.438000000000002</v>
      </c>
      <c r="M105" s="30">
        <v>1635.27</v>
      </c>
      <c r="N105" s="1"/>
      <c r="O105" s="1"/>
      <c r="P105" s="1">
        <f t="shared" si="43"/>
        <v>7.8125E-2</v>
      </c>
      <c r="Q105" s="1">
        <v>89.5</v>
      </c>
      <c r="R105" s="1">
        <f t="shared" si="44"/>
        <v>0.27637371721419529</v>
      </c>
      <c r="S105" s="1">
        <f t="shared" si="45"/>
        <v>0.22005897140671832</v>
      </c>
      <c r="T105" s="1">
        <f t="shared" ref="T105:T117" si="47">S105*S105</f>
        <v>4.8425950896582873E-2</v>
      </c>
      <c r="U105" s="1"/>
      <c r="V105" s="1"/>
      <c r="W105" s="1">
        <v>7.8130000000000005E-2</v>
      </c>
      <c r="X105" s="1">
        <v>71.5</v>
      </c>
      <c r="Y105" s="1">
        <v>0.31456000000000001</v>
      </c>
      <c r="Z105" s="1">
        <v>-2.2435</v>
      </c>
      <c r="AA105" s="1">
        <v>5.0333100000000002</v>
      </c>
    </row>
    <row r="106" spans="1:27">
      <c r="A106" s="1"/>
      <c r="B106" s="1">
        <f t="shared" si="40"/>
        <v>0.15625</v>
      </c>
      <c r="C106" s="42">
        <v>106</v>
      </c>
      <c r="D106" s="1">
        <f t="shared" si="41"/>
        <v>0.17016585307470194</v>
      </c>
      <c r="E106" s="1">
        <f t="shared" si="42"/>
        <v>7.8686311289501747</v>
      </c>
      <c r="F106" s="1">
        <f t="shared" si="46"/>
        <v>61.915355843483702</v>
      </c>
      <c r="G106" s="1"/>
      <c r="H106" s="30"/>
      <c r="I106" s="30">
        <v>0.15625</v>
      </c>
      <c r="J106" s="30">
        <v>84.5</v>
      </c>
      <c r="K106" s="30">
        <v>0.64873000000000003</v>
      </c>
      <c r="L106" s="30">
        <v>-20.262</v>
      </c>
      <c r="M106" s="30">
        <v>410.55799999999999</v>
      </c>
      <c r="N106" s="1"/>
      <c r="O106" s="1"/>
      <c r="P106" s="1">
        <f t="shared" si="43"/>
        <v>0.15625</v>
      </c>
      <c r="Q106" s="1">
        <v>96</v>
      </c>
      <c r="R106" s="1">
        <f t="shared" si="44"/>
        <v>0.5520602966384387</v>
      </c>
      <c r="S106" s="1">
        <f t="shared" si="45"/>
        <v>6.4443723919824745</v>
      </c>
      <c r="T106" s="1">
        <f t="shared" si="47"/>
        <v>41.52993552654592</v>
      </c>
      <c r="U106" s="1"/>
      <c r="V106" s="1"/>
      <c r="W106" s="1">
        <v>0.15625</v>
      </c>
      <c r="X106" s="1">
        <v>79</v>
      </c>
      <c r="Y106" s="1">
        <v>0.62809999999999999</v>
      </c>
      <c r="Z106" s="1">
        <v>4.9429600000000002</v>
      </c>
      <c r="AA106" s="1">
        <v>24.4328</v>
      </c>
    </row>
    <row r="107" spans="1:27">
      <c r="A107" s="1"/>
      <c r="B107" s="1">
        <f t="shared" si="40"/>
        <v>0.3125</v>
      </c>
      <c r="C107" s="42">
        <v>102.5</v>
      </c>
      <c r="D107" s="1">
        <f t="shared" si="41"/>
        <v>0.33992427929407631</v>
      </c>
      <c r="E107" s="1">
        <f t="shared" si="42"/>
        <v>4.1988727027308004</v>
      </c>
      <c r="F107" s="1">
        <f t="shared" si="46"/>
        <v>17.630531973737856</v>
      </c>
      <c r="G107" s="1"/>
      <c r="H107" s="30"/>
      <c r="I107" s="30">
        <v>0.3125</v>
      </c>
      <c r="J107" s="30">
        <v>131.5</v>
      </c>
      <c r="K107" s="30">
        <v>1.2925899999999999</v>
      </c>
      <c r="L107" s="30">
        <v>26.093900000000001</v>
      </c>
      <c r="M107" s="30">
        <v>680.89200000000005</v>
      </c>
      <c r="N107" s="1"/>
      <c r="O107" s="1"/>
      <c r="P107" s="1">
        <f t="shared" si="43"/>
        <v>0.3125</v>
      </c>
      <c r="Q107" s="1">
        <v>100</v>
      </c>
      <c r="R107" s="1">
        <f t="shared" si="44"/>
        <v>1.1013821002722604</v>
      </c>
      <c r="S107" s="1">
        <f t="shared" si="45"/>
        <v>9.8950505883486528</v>
      </c>
      <c r="T107" s="1">
        <f t="shared" si="47"/>
        <v>97.912026145979027</v>
      </c>
      <c r="U107" s="1"/>
      <c r="V107" s="1"/>
      <c r="W107" s="1">
        <v>0.3125</v>
      </c>
      <c r="X107" s="1">
        <v>77</v>
      </c>
      <c r="Y107" s="1">
        <v>1.25214</v>
      </c>
      <c r="Z107" s="1">
        <v>2.3189099999999998</v>
      </c>
      <c r="AA107" s="1">
        <v>5.3773499999999999</v>
      </c>
    </row>
    <row r="108" spans="1:27">
      <c r="A108" s="1"/>
      <c r="B108" s="1">
        <f t="shared" si="40"/>
        <v>0.625</v>
      </c>
      <c r="C108" s="42">
        <v>98.5</v>
      </c>
      <c r="D108" s="1">
        <f t="shared" si="41"/>
        <v>0.67822464506899338</v>
      </c>
      <c r="E108" s="1">
        <f t="shared" si="42"/>
        <v>-0.13942766304411636</v>
      </c>
      <c r="F108" s="1">
        <f t="shared" si="46"/>
        <v>1.944007322194365E-2</v>
      </c>
      <c r="G108" s="1"/>
      <c r="H108" s="30"/>
      <c r="I108" s="30">
        <v>0.625</v>
      </c>
      <c r="J108" s="30">
        <v>114</v>
      </c>
      <c r="K108" s="30">
        <v>2.5658799999999999</v>
      </c>
      <c r="L108" s="30">
        <v>7.3206199999999999</v>
      </c>
      <c r="M108" s="30">
        <v>53.591500000000003</v>
      </c>
      <c r="N108" s="1"/>
      <c r="O108" s="1"/>
      <c r="P108" s="1">
        <f t="shared" si="43"/>
        <v>0.625</v>
      </c>
      <c r="Q108" s="1">
        <v>86.5</v>
      </c>
      <c r="R108" s="1">
        <f t="shared" si="44"/>
        <v>2.1918900214773251</v>
      </c>
      <c r="S108" s="1">
        <f t="shared" si="45"/>
        <v>-4.695457332856412</v>
      </c>
      <c r="T108" s="1">
        <f t="shared" si="47"/>
        <v>22.04731956467505</v>
      </c>
      <c r="U108" s="1"/>
      <c r="V108" s="1"/>
      <c r="W108" s="1">
        <v>0.625</v>
      </c>
      <c r="X108" s="1">
        <v>79</v>
      </c>
      <c r="Y108" s="1">
        <v>2.4882300000000002</v>
      </c>
      <c r="Z108" s="1">
        <v>3.0828199999999999</v>
      </c>
      <c r="AA108" s="1">
        <v>9.5038099999999996</v>
      </c>
    </row>
    <row r="109" spans="1:27">
      <c r="A109" s="1"/>
      <c r="B109" s="1">
        <f t="shared" si="40"/>
        <v>1.25</v>
      </c>
      <c r="C109" s="1">
        <v>95.5</v>
      </c>
      <c r="D109" s="1">
        <f t="shared" si="41"/>
        <v>1.3499996075802865</v>
      </c>
      <c r="E109" s="1">
        <f t="shared" si="42"/>
        <v>-3.8112026255554095</v>
      </c>
      <c r="F109" s="1">
        <f t="shared" si="46"/>
        <v>14.525265453040447</v>
      </c>
      <c r="G109" s="1"/>
      <c r="H109" s="30"/>
      <c r="I109" s="30">
        <v>1.25</v>
      </c>
      <c r="J109" s="30">
        <v>105</v>
      </c>
      <c r="K109" s="30">
        <v>5.0562300000000002</v>
      </c>
      <c r="L109" s="30">
        <v>-4.1696999999999997</v>
      </c>
      <c r="M109" s="30">
        <v>17.386700000000001</v>
      </c>
      <c r="N109" s="1"/>
      <c r="O109" s="1"/>
      <c r="P109" s="1">
        <f t="shared" si="43"/>
        <v>1.25</v>
      </c>
      <c r="Q109" s="1">
        <v>92</v>
      </c>
      <c r="R109" s="1">
        <f t="shared" si="44"/>
        <v>4.3409111007776549</v>
      </c>
      <c r="S109" s="1">
        <f t="shared" si="45"/>
        <v>-1.3444784121567412</v>
      </c>
      <c r="T109" s="1">
        <f t="shared" si="47"/>
        <v>1.8076222007555123</v>
      </c>
      <c r="U109" s="1"/>
      <c r="V109" s="1"/>
      <c r="W109" s="1">
        <v>1.25</v>
      </c>
      <c r="X109" s="1">
        <v>78</v>
      </c>
      <c r="Y109" s="1">
        <v>4.91343</v>
      </c>
      <c r="Z109" s="1">
        <v>-0.34237000000000001</v>
      </c>
      <c r="AA109" s="1">
        <v>0.11722</v>
      </c>
    </row>
    <row r="110" spans="1:27">
      <c r="A110" s="1"/>
      <c r="B110" s="1">
        <f t="shared" si="40"/>
        <v>2.5</v>
      </c>
      <c r="C110" s="1">
        <v>99</v>
      </c>
      <c r="D110" s="1">
        <f t="shared" si="41"/>
        <v>2.6745622863989955</v>
      </c>
      <c r="E110" s="1">
        <f t="shared" si="42"/>
        <v>-1.6357653043741185</v>
      </c>
      <c r="F110" s="1">
        <f t="shared" si="46"/>
        <v>2.6757281309941523</v>
      </c>
      <c r="G110" s="1"/>
      <c r="H110" s="30"/>
      <c r="I110" s="30">
        <v>2.5</v>
      </c>
      <c r="J110" s="30">
        <v>128.5</v>
      </c>
      <c r="K110" s="30">
        <v>9.8230500000000003</v>
      </c>
      <c r="L110" s="30">
        <v>14.5634</v>
      </c>
      <c r="M110" s="30">
        <v>212.09399999999999</v>
      </c>
      <c r="N110" s="1"/>
      <c r="O110" s="1"/>
      <c r="P110" s="1">
        <f t="shared" si="43"/>
        <v>2.5</v>
      </c>
      <c r="Q110" s="1">
        <v>89.5</v>
      </c>
      <c r="R110" s="1">
        <f t="shared" si="44"/>
        <v>8.5152053048201477</v>
      </c>
      <c r="S110" s="1">
        <f t="shared" si="45"/>
        <v>-8.0187726161992341</v>
      </c>
      <c r="T110" s="1">
        <f t="shared" si="47"/>
        <v>64.300714270306713</v>
      </c>
      <c r="U110" s="1"/>
      <c r="V110" s="1"/>
      <c r="W110" s="1">
        <v>2.5</v>
      </c>
      <c r="X110" s="1">
        <v>84</v>
      </c>
      <c r="Y110" s="1">
        <v>9.5838999999999999</v>
      </c>
      <c r="Z110" s="1">
        <v>0.98716000000000004</v>
      </c>
      <c r="AA110" s="1">
        <v>0.97448000000000001</v>
      </c>
    </row>
    <row r="111" spans="1:27">
      <c r="A111" s="1"/>
      <c r="B111" s="1">
        <f t="shared" si="40"/>
        <v>5</v>
      </c>
      <c r="C111" s="35">
        <v>101</v>
      </c>
      <c r="D111" s="1">
        <f t="shared" si="41"/>
        <v>5.2501789784048496</v>
      </c>
      <c r="E111" s="1">
        <f t="shared" si="42"/>
        <v>-2.2113819963799726</v>
      </c>
      <c r="F111" s="1">
        <f t="shared" si="46"/>
        <v>4.8902103339134726</v>
      </c>
      <c r="G111" s="1"/>
      <c r="H111" s="30"/>
      <c r="I111" s="30">
        <v>5</v>
      </c>
      <c r="J111" s="30">
        <v>156</v>
      </c>
      <c r="K111" s="30">
        <v>18.580500000000001</v>
      </c>
      <c r="L111" s="30">
        <v>33.305900000000001</v>
      </c>
      <c r="M111" s="30">
        <v>1109.29</v>
      </c>
      <c r="N111" s="1"/>
      <c r="O111" s="1"/>
      <c r="P111" s="1">
        <f t="shared" si="43"/>
        <v>5</v>
      </c>
      <c r="Q111" s="1">
        <v>98</v>
      </c>
      <c r="R111" s="1">
        <f t="shared" si="44"/>
        <v>16.400373737758379</v>
      </c>
      <c r="S111" s="1">
        <f t="shared" si="45"/>
        <v>-7.4039410491374653</v>
      </c>
      <c r="T111" s="1">
        <f t="shared" si="47"/>
        <v>54.818343059102787</v>
      </c>
      <c r="U111" s="1"/>
      <c r="V111" s="1"/>
      <c r="W111" s="1">
        <v>5</v>
      </c>
      <c r="X111" s="1">
        <v>85</v>
      </c>
      <c r="Y111" s="1">
        <v>18.263400000000001</v>
      </c>
      <c r="Z111" s="1">
        <v>-6.6923500000000002</v>
      </c>
      <c r="AA111" s="1">
        <v>44.787599999999998</v>
      </c>
    </row>
    <row r="112" spans="1:27">
      <c r="A112" s="1"/>
      <c r="B112" s="1">
        <f t="shared" si="40"/>
        <v>10</v>
      </c>
      <c r="C112" s="35">
        <v>108.5</v>
      </c>
      <c r="D112" s="1">
        <f t="shared" si="41"/>
        <v>10.125612552591244</v>
      </c>
      <c r="E112" s="1">
        <f t="shared" si="42"/>
        <v>0.41318442943363287</v>
      </c>
      <c r="F112" s="1">
        <f t="shared" si="46"/>
        <v>0.17072137272639673</v>
      </c>
      <c r="G112" s="1"/>
      <c r="H112" s="30"/>
      <c r="I112" s="30">
        <v>10</v>
      </c>
      <c r="J112" s="30">
        <v>132</v>
      </c>
      <c r="K112" s="30">
        <v>33.514200000000002</v>
      </c>
      <c r="L112" s="30">
        <v>-5.6276999999999999</v>
      </c>
      <c r="M112" s="30">
        <v>31.671199999999999</v>
      </c>
      <c r="N112" s="1"/>
      <c r="O112" s="1"/>
      <c r="P112" s="1">
        <f t="shared" si="43"/>
        <v>10</v>
      </c>
      <c r="Q112" s="1">
        <v>128</v>
      </c>
      <c r="R112" s="1">
        <f t="shared" si="44"/>
        <v>30.537837064207469</v>
      </c>
      <c r="S112" s="1">
        <f t="shared" si="45"/>
        <v>8.4585956244134444</v>
      </c>
      <c r="T112" s="1">
        <f t="shared" si="47"/>
        <v>71.547839937346268</v>
      </c>
      <c r="U112" s="1"/>
      <c r="V112" s="1"/>
      <c r="W112" s="1">
        <v>10</v>
      </c>
      <c r="X112" s="1">
        <v>101</v>
      </c>
      <c r="Y112" s="1">
        <v>33.370199999999997</v>
      </c>
      <c r="Z112" s="1">
        <v>-5.7991700000000002</v>
      </c>
      <c r="AA112" s="1">
        <v>33.630400000000002</v>
      </c>
    </row>
    <row r="113" spans="1:27">
      <c r="A113" s="1"/>
      <c r="B113" s="1">
        <f t="shared" si="40"/>
        <v>20</v>
      </c>
      <c r="C113" s="35">
        <v>115</v>
      </c>
      <c r="D113" s="1">
        <f t="shared" si="41"/>
        <v>18.901164030810165</v>
      </c>
      <c r="E113" s="1">
        <f t="shared" si="42"/>
        <v>-1.8623670487852877</v>
      </c>
      <c r="F113" s="1">
        <f t="shared" si="46"/>
        <v>3.4684110244012221</v>
      </c>
      <c r="G113" s="1"/>
      <c r="H113" s="30"/>
      <c r="I113" s="30">
        <v>20</v>
      </c>
      <c r="J113" s="30">
        <v>155</v>
      </c>
      <c r="K113" s="30">
        <v>55.989800000000002</v>
      </c>
      <c r="L113" s="30">
        <v>-5.1032999999999999</v>
      </c>
      <c r="M113" s="30">
        <v>26.043299999999999</v>
      </c>
      <c r="N113" s="1"/>
      <c r="O113" s="1"/>
      <c r="P113" s="1">
        <f t="shared" si="43"/>
        <v>20</v>
      </c>
      <c r="Q113" s="1">
        <v>141</v>
      </c>
      <c r="R113" s="1">
        <f t="shared" si="44"/>
        <v>53.654728607343969</v>
      </c>
      <c r="S113" s="1">
        <f t="shared" si="45"/>
        <v>-1.6582959187230557</v>
      </c>
      <c r="T113" s="1">
        <f t="shared" si="47"/>
        <v>2.7499453540535432</v>
      </c>
      <c r="U113" s="1"/>
      <c r="V113" s="1"/>
      <c r="W113" s="1">
        <v>20</v>
      </c>
      <c r="X113" s="1">
        <v>129</v>
      </c>
      <c r="Y113" s="1">
        <v>56.875100000000003</v>
      </c>
      <c r="Z113" s="1">
        <v>-1.30402</v>
      </c>
      <c r="AA113" s="1">
        <v>1.70048</v>
      </c>
    </row>
    <row r="114" spans="1:27">
      <c r="A114" s="1"/>
      <c r="B114" s="1">
        <f t="shared" si="40"/>
        <v>40</v>
      </c>
      <c r="C114" s="35">
        <v>126</v>
      </c>
      <c r="D114" s="1">
        <f t="shared" si="41"/>
        <v>33.350709106381586</v>
      </c>
      <c r="E114" s="1">
        <f t="shared" si="42"/>
        <v>-5.3119121243567093</v>
      </c>
      <c r="F114" s="1">
        <f t="shared" si="46"/>
        <v>28.216410416887808</v>
      </c>
      <c r="G114" s="1"/>
      <c r="H114" s="30"/>
      <c r="I114" s="30">
        <v>40</v>
      </c>
      <c r="J114" s="30">
        <v>182.5</v>
      </c>
      <c r="K114" s="30">
        <v>84.129000000000005</v>
      </c>
      <c r="L114" s="30">
        <v>-5.7424999999999997</v>
      </c>
      <c r="M114" s="30">
        <v>32.976199999999999</v>
      </c>
      <c r="N114" s="1"/>
      <c r="O114" s="1"/>
      <c r="P114" s="1">
        <f t="shared" si="43"/>
        <v>40</v>
      </c>
      <c r="Q114" s="1">
        <v>166</v>
      </c>
      <c r="R114" s="1">
        <f t="shared" si="44"/>
        <v>86.277340053403151</v>
      </c>
      <c r="S114" s="1">
        <f t="shared" si="45"/>
        <v>-9.2809073647822373</v>
      </c>
      <c r="T114" s="1">
        <f t="shared" si="47"/>
        <v>86.135241513669172</v>
      </c>
      <c r="U114" s="1"/>
      <c r="V114" s="1"/>
      <c r="W114" s="1">
        <v>40</v>
      </c>
      <c r="X114" s="1">
        <v>164.5</v>
      </c>
      <c r="Y114" s="1">
        <v>87.708699999999993</v>
      </c>
      <c r="Z114" s="1">
        <v>3.3623400000000001</v>
      </c>
      <c r="AA114" s="1">
        <v>11.305300000000001</v>
      </c>
    </row>
    <row r="115" spans="1:27">
      <c r="A115" s="1"/>
      <c r="B115" s="1">
        <f t="shared" si="40"/>
        <v>80</v>
      </c>
      <c r="C115" s="35">
        <v>157</v>
      </c>
      <c r="D115" s="1">
        <f t="shared" si="41"/>
        <v>53.971283161078745</v>
      </c>
      <c r="E115" s="1">
        <f t="shared" si="42"/>
        <v>5.0675138209461323</v>
      </c>
      <c r="F115" s="1">
        <f t="shared" si="46"/>
        <v>25.679696325480069</v>
      </c>
      <c r="G115" s="1"/>
      <c r="H115" s="30"/>
      <c r="I115" s="30">
        <v>80</v>
      </c>
      <c r="J115" s="30">
        <v>211.5</v>
      </c>
      <c r="K115" s="30">
        <v>112.20699999999999</v>
      </c>
      <c r="L115" s="30">
        <v>-4.8205999999999998</v>
      </c>
      <c r="M115" s="30">
        <v>23.238099999999999</v>
      </c>
      <c r="N115" s="1"/>
      <c r="O115" s="1"/>
      <c r="P115" s="1">
        <f t="shared" si="43"/>
        <v>80</v>
      </c>
      <c r="Q115" s="1">
        <v>214</v>
      </c>
      <c r="R115" s="1">
        <f t="shared" si="44"/>
        <v>123.85131120127694</v>
      </c>
      <c r="S115" s="1">
        <f t="shared" si="45"/>
        <v>1.145121487343971</v>
      </c>
      <c r="T115" s="1">
        <f t="shared" si="47"/>
        <v>1.3113032207768685</v>
      </c>
      <c r="U115" s="1"/>
      <c r="V115" s="1"/>
      <c r="W115" s="1">
        <v>80</v>
      </c>
      <c r="X115" s="1">
        <v>198</v>
      </c>
      <c r="Y115" s="1">
        <v>120.178</v>
      </c>
      <c r="Z115" s="1">
        <v>4.3928500000000001</v>
      </c>
      <c r="AA115" s="1">
        <v>19.2971</v>
      </c>
    </row>
    <row r="116" spans="1:27">
      <c r="A116" s="1"/>
      <c r="B116" s="1">
        <f t="shared" si="40"/>
        <v>160</v>
      </c>
      <c r="C116" s="35">
        <v>178</v>
      </c>
      <c r="D116" s="1">
        <f t="shared" si="41"/>
        <v>78.089829813244037</v>
      </c>
      <c r="E116" s="1">
        <f t="shared" si="42"/>
        <v>1.9489671687808396</v>
      </c>
      <c r="F116" s="1">
        <f t="shared" si="46"/>
        <v>3.798473024985602</v>
      </c>
      <c r="G116" s="1"/>
      <c r="H116" s="30"/>
      <c r="I116" s="30">
        <v>160</v>
      </c>
      <c r="J116" s="30">
        <v>238.5</v>
      </c>
      <c r="K116" s="30">
        <v>134.54599999999999</v>
      </c>
      <c r="L116" s="30">
        <v>-0.15959999999999999</v>
      </c>
      <c r="M116" s="30">
        <v>2.546E-2</v>
      </c>
      <c r="N116" s="1"/>
      <c r="O116" s="1"/>
      <c r="P116" s="1">
        <f t="shared" si="43"/>
        <v>160</v>
      </c>
      <c r="Q116" s="1">
        <v>265.5</v>
      </c>
      <c r="R116" s="1">
        <f t="shared" si="44"/>
        <v>158.19339382674454</v>
      </c>
      <c r="S116" s="1">
        <f t="shared" si="45"/>
        <v>18.303038861876388</v>
      </c>
      <c r="T116" s="1">
        <f t="shared" si="47"/>
        <v>335.0012315793573</v>
      </c>
      <c r="U116" s="1"/>
      <c r="V116" s="1"/>
      <c r="W116" s="1">
        <v>160</v>
      </c>
      <c r="X116" s="1">
        <v>221</v>
      </c>
      <c r="Y116" s="1">
        <v>147.334</v>
      </c>
      <c r="Z116" s="1">
        <v>0.23744999999999999</v>
      </c>
      <c r="AA116" s="1">
        <v>5.638E-2</v>
      </c>
    </row>
    <row r="117" spans="1:27">
      <c r="A117" s="1"/>
      <c r="B117" s="1">
        <v>320</v>
      </c>
      <c r="C117" s="35">
        <v>196.5</v>
      </c>
      <c r="D117" s="1">
        <f t="shared" si="41"/>
        <v>100.51740994693353</v>
      </c>
      <c r="E117" s="1">
        <f t="shared" si="42"/>
        <v>-1.978612964908649</v>
      </c>
      <c r="F117" s="1">
        <f t="shared" si="46"/>
        <v>3.9149092649045949</v>
      </c>
      <c r="G117" s="1"/>
      <c r="H117" s="30"/>
      <c r="I117" s="30">
        <v>320</v>
      </c>
      <c r="J117" s="30">
        <v>258.5</v>
      </c>
      <c r="K117" s="30">
        <v>149.346</v>
      </c>
      <c r="L117" s="30">
        <v>5.0407599999999997</v>
      </c>
      <c r="M117" s="30">
        <v>25.409199999999998</v>
      </c>
      <c r="N117" s="1"/>
      <c r="O117" s="1"/>
      <c r="P117" s="1">
        <v>320</v>
      </c>
      <c r="Q117" s="1">
        <v>260.5</v>
      </c>
      <c r="R117" s="1">
        <f t="shared" si="44"/>
        <v>183.56026106306362</v>
      </c>
      <c r="S117" s="1">
        <f t="shared" si="45"/>
        <v>-12.063828374442693</v>
      </c>
      <c r="T117" s="1">
        <f t="shared" si="47"/>
        <v>145.53595504800862</v>
      </c>
      <c r="U117" s="1"/>
      <c r="V117" s="1"/>
      <c r="W117" s="1">
        <v>320</v>
      </c>
      <c r="X117" s="1">
        <v>236.5</v>
      </c>
      <c r="Y117" s="1">
        <v>166.01400000000001</v>
      </c>
      <c r="Z117" s="1">
        <v>-2.9433799999999999</v>
      </c>
      <c r="AA117" s="1">
        <v>8.6634700000000002</v>
      </c>
    </row>
    <row r="118" spans="1:27">
      <c r="A118" s="1"/>
      <c r="B118" s="1"/>
      <c r="C118" s="1"/>
      <c r="D118" s="1"/>
      <c r="E118" s="1"/>
      <c r="F118" s="1"/>
      <c r="G118" s="1"/>
      <c r="H118" s="30"/>
      <c r="I118" s="30"/>
      <c r="J118" s="30"/>
      <c r="K118" s="30"/>
      <c r="L118" s="30"/>
      <c r="M118" s="3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">
      <c r="A119" s="1" t="s">
        <v>104</v>
      </c>
      <c r="B119" s="1" t="s">
        <v>82</v>
      </c>
      <c r="C119" s="24" t="s">
        <v>81</v>
      </c>
      <c r="D119" s="24" t="s">
        <v>80</v>
      </c>
      <c r="E119" s="24"/>
      <c r="F119" s="1" t="s">
        <v>79</v>
      </c>
      <c r="G119" s="1"/>
      <c r="H119" s="30" t="s">
        <v>104</v>
      </c>
      <c r="I119" s="30" t="s">
        <v>82</v>
      </c>
      <c r="J119" s="38" t="s">
        <v>81</v>
      </c>
      <c r="K119" s="38" t="s">
        <v>123</v>
      </c>
      <c r="L119" s="38"/>
      <c r="M119" s="30" t="s">
        <v>79</v>
      </c>
      <c r="N119" s="1"/>
      <c r="O119" s="1" t="s">
        <v>104</v>
      </c>
      <c r="P119" s="1" t="s">
        <v>82</v>
      </c>
      <c r="Q119" s="24" t="s">
        <v>81</v>
      </c>
      <c r="R119" s="24" t="s">
        <v>80</v>
      </c>
      <c r="S119" s="24"/>
      <c r="T119" s="1" t="s">
        <v>79</v>
      </c>
      <c r="U119" s="1"/>
      <c r="V119" s="1" t="s">
        <v>104</v>
      </c>
      <c r="W119" s="1" t="s">
        <v>82</v>
      </c>
      <c r="X119" s="24" t="s">
        <v>81</v>
      </c>
      <c r="Y119" s="27" t="s">
        <v>122</v>
      </c>
      <c r="Z119" s="24"/>
      <c r="AA119" s="1" t="s">
        <v>79</v>
      </c>
    </row>
    <row r="120" spans="1:27" ht="16">
      <c r="A120" s="1">
        <v>97.961203017975123</v>
      </c>
      <c r="B120" s="25">
        <v>128.20206264891161</v>
      </c>
      <c r="C120" s="24">
        <v>140.87783732088832</v>
      </c>
      <c r="D120" s="24">
        <v>1</v>
      </c>
      <c r="E120" s="24"/>
      <c r="F120" s="21">
        <f>SUM(F104:F118)</f>
        <v>173.38898517084991</v>
      </c>
      <c r="G120" s="1"/>
      <c r="H120" s="30">
        <v>104.114</v>
      </c>
      <c r="I120" s="39">
        <v>39.241599999999998</v>
      </c>
      <c r="J120" s="38">
        <v>167.71100000000001</v>
      </c>
      <c r="K120" s="38">
        <v>1</v>
      </c>
      <c r="L120" s="38"/>
      <c r="M120" s="31">
        <v>4258.4399999999996</v>
      </c>
      <c r="N120" s="1"/>
      <c r="O120" s="1">
        <v>89.003567311379086</v>
      </c>
      <c r="P120" s="25">
        <v>60.676442317694196</v>
      </c>
      <c r="Q120" s="24">
        <v>218.45746790586833</v>
      </c>
      <c r="R120" s="24">
        <v>1</v>
      </c>
      <c r="S120" s="24"/>
      <c r="T120" s="21">
        <f>SUM(T104:T118)</f>
        <v>924.74590337147333</v>
      </c>
      <c r="U120" s="1"/>
      <c r="V120" s="1">
        <v>73.42895</v>
      </c>
      <c r="W120" s="25">
        <v>46.113999999999997</v>
      </c>
      <c r="X120" s="24">
        <v>190.00299999999999</v>
      </c>
      <c r="Y120" s="24">
        <v>1</v>
      </c>
      <c r="Z120" s="24"/>
      <c r="AA120" s="21">
        <v>164.88</v>
      </c>
    </row>
    <row r="121" spans="1:27">
      <c r="A121" s="1"/>
      <c r="B121" s="1"/>
      <c r="C121" s="1"/>
      <c r="D121" s="1"/>
      <c r="E121" s="1"/>
      <c r="F121" s="1"/>
      <c r="G121" s="1"/>
      <c r="H121" s="30"/>
      <c r="I121" s="30"/>
      <c r="J121" s="30"/>
      <c r="K121" s="30"/>
      <c r="L121" s="30"/>
      <c r="M121" s="3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28"/>
      <c r="B122" s="1" t="s">
        <v>90</v>
      </c>
      <c r="C122" s="1" t="s">
        <v>89</v>
      </c>
      <c r="D122" s="1" t="s">
        <v>88</v>
      </c>
      <c r="E122" s="1" t="s">
        <v>87</v>
      </c>
      <c r="F122" s="1" t="s">
        <v>86</v>
      </c>
      <c r="G122" s="1"/>
      <c r="H122" s="29"/>
      <c r="I122" s="30" t="s">
        <v>90</v>
      </c>
      <c r="J122" s="30" t="s">
        <v>89</v>
      </c>
      <c r="K122" s="30" t="s">
        <v>88</v>
      </c>
      <c r="L122" s="30" t="s">
        <v>87</v>
      </c>
      <c r="M122" s="30" t="s">
        <v>86</v>
      </c>
      <c r="N122" s="1"/>
      <c r="O122" s="28"/>
      <c r="P122" s="1" t="s">
        <v>90</v>
      </c>
      <c r="Q122" s="1" t="s">
        <v>89</v>
      </c>
      <c r="R122" s="1" t="s">
        <v>88</v>
      </c>
      <c r="S122" s="1" t="s">
        <v>87</v>
      </c>
      <c r="T122" s="1" t="s">
        <v>86</v>
      </c>
      <c r="U122" s="1"/>
      <c r="V122" s="1"/>
      <c r="W122" s="1" t="s">
        <v>90</v>
      </c>
      <c r="X122" s="1" t="s">
        <v>89</v>
      </c>
      <c r="Y122" s="1" t="s">
        <v>88</v>
      </c>
      <c r="Z122" s="1" t="s">
        <v>87</v>
      </c>
      <c r="AA122" s="1" t="s">
        <v>86</v>
      </c>
    </row>
    <row r="123" spans="1:27">
      <c r="A123" s="1"/>
      <c r="B123" s="1"/>
      <c r="C123" s="1"/>
      <c r="D123" s="1"/>
      <c r="E123" s="1"/>
      <c r="F123" s="1"/>
      <c r="G123" s="1"/>
      <c r="H123" s="30"/>
      <c r="I123" s="30"/>
      <c r="J123" s="30"/>
      <c r="K123" s="30"/>
      <c r="L123" s="30"/>
      <c r="M123" s="3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 t="s">
        <v>109</v>
      </c>
      <c r="B124" s="1">
        <f t="shared" ref="B124:B136" si="48">B125/2</f>
        <v>3.90625E-2</v>
      </c>
      <c r="C124" s="1">
        <v>17</v>
      </c>
      <c r="D124" s="1">
        <f t="shared" ref="D124:D137" si="49" xml:space="preserve"> (B$140+B124+D$140-((B$140+B124+D$140)^2-4*D$140*B124)^0.5)*C$140/(2*D$140)</f>
        <v>5.0977919603729209E-2</v>
      </c>
      <c r="E124" s="1">
        <f t="shared" ref="E124:E137" si="50">(C124-A$140)-D124</f>
        <v>-76.953220455042526</v>
      </c>
      <c r="F124" s="1"/>
      <c r="G124" s="1"/>
      <c r="H124" s="30" t="s">
        <v>109</v>
      </c>
      <c r="I124" s="30">
        <v>3.9059999999999997E-2</v>
      </c>
      <c r="J124" s="30">
        <v>17</v>
      </c>
      <c r="K124" s="30">
        <v>0.23130000000000001</v>
      </c>
      <c r="L124" s="30">
        <v>-50.252000000000002</v>
      </c>
      <c r="M124" s="30"/>
      <c r="N124" s="1"/>
      <c r="O124" s="1" t="s">
        <v>109</v>
      </c>
      <c r="P124" s="1">
        <f t="shared" ref="P124:P136" si="51">P125/2</f>
        <v>3.90625E-2</v>
      </c>
      <c r="Q124" s="1">
        <v>17</v>
      </c>
      <c r="R124" s="1">
        <f t="shared" ref="R124:R137" si="52" xml:space="preserve"> (P$140+P124+R$140-((P$140+P124+R$140)^2-4*R$140*P124)^0.5)*Q$140/(2*R$140)</f>
        <v>0.12859701538631352</v>
      </c>
      <c r="S124" s="1">
        <f t="shared" ref="S124:S137" si="53">(Q124-O$140)-R124</f>
        <v>-70.01673283583051</v>
      </c>
      <c r="T124" s="1"/>
      <c r="U124" s="1"/>
      <c r="V124" s="1" t="s">
        <v>109</v>
      </c>
      <c r="W124" s="1">
        <v>3.9059999999999997E-2</v>
      </c>
      <c r="X124" s="1">
        <v>17</v>
      </c>
      <c r="Y124" s="1">
        <v>0.15407000000000001</v>
      </c>
      <c r="Z124" s="1">
        <v>-51.295099999999998</v>
      </c>
      <c r="AA124" s="1"/>
    </row>
    <row r="125" spans="1:27" ht="16">
      <c r="A125" s="1" t="s">
        <v>58</v>
      </c>
      <c r="B125" s="1">
        <f t="shared" si="48"/>
        <v>7.8125E-2</v>
      </c>
      <c r="C125" s="1">
        <v>85</v>
      </c>
      <c r="D125" s="1">
        <f t="shared" si="49"/>
        <v>0.10191616659921406</v>
      </c>
      <c r="E125" s="1">
        <f t="shared" si="50"/>
        <v>-9.0041587020380156</v>
      </c>
      <c r="F125" s="1">
        <f t="shared" ref="F125:F137" si="54">E125*E125</f>
        <v>81.07487393148692</v>
      </c>
      <c r="G125" s="1"/>
      <c r="H125" s="30" t="s">
        <v>58</v>
      </c>
      <c r="I125" s="30">
        <v>7.8130000000000005E-2</v>
      </c>
      <c r="J125" s="30">
        <v>47</v>
      </c>
      <c r="K125" s="30">
        <v>0.46204000000000001</v>
      </c>
      <c r="L125" s="30">
        <v>-20.481999999999999</v>
      </c>
      <c r="M125" s="30">
        <v>419.53199999999998</v>
      </c>
      <c r="N125" s="1"/>
      <c r="O125" s="1" t="s">
        <v>58</v>
      </c>
      <c r="P125" s="1">
        <f t="shared" si="51"/>
        <v>7.8125E-2</v>
      </c>
      <c r="Q125" s="22">
        <v>87.5</v>
      </c>
      <c r="R125" s="1">
        <f t="shared" si="52"/>
        <v>0.25706368762942444</v>
      </c>
      <c r="S125" s="1">
        <f t="shared" si="53"/>
        <v>0.35480049192638463</v>
      </c>
      <c r="T125" s="1">
        <f t="shared" ref="T125:T137" si="55">S125*S125</f>
        <v>0.12588338907120453</v>
      </c>
      <c r="U125" s="1"/>
      <c r="V125" s="1" t="s">
        <v>58</v>
      </c>
      <c r="W125" s="1">
        <v>7.8130000000000005E-2</v>
      </c>
      <c r="X125" s="1">
        <v>70</v>
      </c>
      <c r="Y125" s="1">
        <v>0.30789</v>
      </c>
      <c r="Z125" s="1">
        <v>1.5510200000000001</v>
      </c>
      <c r="AA125" s="1">
        <v>2.4056700000000002</v>
      </c>
    </row>
    <row r="126" spans="1:27" ht="16">
      <c r="A126" s="1"/>
      <c r="B126" s="1">
        <f t="shared" si="48"/>
        <v>0.15625</v>
      </c>
      <c r="C126" s="1">
        <v>106</v>
      </c>
      <c r="D126" s="1">
        <f t="shared" si="49"/>
        <v>0.20367382599758796</v>
      </c>
      <c r="E126" s="1">
        <f t="shared" si="50"/>
        <v>11.894083638563609</v>
      </c>
      <c r="F126" s="1">
        <f t="shared" si="54"/>
        <v>141.46922560114655</v>
      </c>
      <c r="G126" s="1"/>
      <c r="H126" s="30"/>
      <c r="I126" s="30">
        <v>0.15625</v>
      </c>
      <c r="J126" s="30">
        <v>65</v>
      </c>
      <c r="K126" s="30">
        <v>0.92184999999999995</v>
      </c>
      <c r="L126" s="30">
        <v>-2.9422999999999999</v>
      </c>
      <c r="M126" s="30">
        <v>8.6570099999999996</v>
      </c>
      <c r="N126" s="1"/>
      <c r="O126" s="1"/>
      <c r="P126" s="1">
        <f t="shared" si="51"/>
        <v>0.15625</v>
      </c>
      <c r="Q126" s="22">
        <v>56.5</v>
      </c>
      <c r="R126" s="1">
        <f t="shared" si="52"/>
        <v>0.51360678404169735</v>
      </c>
      <c r="S126" s="1">
        <f t="shared" si="53"/>
        <v>-30.901742604485889</v>
      </c>
      <c r="T126" s="1">
        <f t="shared" si="55"/>
        <v>954.91769599389841</v>
      </c>
      <c r="U126" s="1"/>
      <c r="V126" s="1"/>
      <c r="W126" s="1">
        <v>0.15625</v>
      </c>
      <c r="X126" s="1">
        <v>69.5</v>
      </c>
      <c r="Y126" s="1">
        <v>0.61482999999999999</v>
      </c>
      <c r="Z126" s="1">
        <v>0.74407999999999996</v>
      </c>
      <c r="AA126" s="1">
        <v>0.55366000000000004</v>
      </c>
    </row>
    <row r="127" spans="1:27" ht="16">
      <c r="A127" s="1"/>
      <c r="B127" s="1">
        <f t="shared" si="48"/>
        <v>0.3125</v>
      </c>
      <c r="C127" s="1">
        <v>94</v>
      </c>
      <c r="D127" s="1">
        <f t="shared" si="49"/>
        <v>0.4067150850870131</v>
      </c>
      <c r="E127" s="1">
        <f t="shared" si="50"/>
        <v>-0.30895762052581505</v>
      </c>
      <c r="F127" s="1">
        <f t="shared" si="54"/>
        <v>9.5454811280973537E-2</v>
      </c>
      <c r="G127" s="1"/>
      <c r="H127" s="30"/>
      <c r="I127" s="30">
        <v>0.3125</v>
      </c>
      <c r="J127" s="30">
        <v>60</v>
      </c>
      <c r="K127" s="30">
        <v>1.8348500000000001</v>
      </c>
      <c r="L127" s="30">
        <v>-8.8552999999999997</v>
      </c>
      <c r="M127" s="30">
        <v>78.415999999999997</v>
      </c>
      <c r="N127" s="1"/>
      <c r="O127" s="1"/>
      <c r="P127" s="1">
        <f t="shared" si="51"/>
        <v>0.3125</v>
      </c>
      <c r="Q127" s="22">
        <v>94</v>
      </c>
      <c r="R127" s="1">
        <f t="shared" si="52"/>
        <v>1.0251374325663276</v>
      </c>
      <c r="S127" s="1">
        <f t="shared" si="53"/>
        <v>6.0867267469894815</v>
      </c>
      <c r="T127" s="1">
        <f t="shared" si="55"/>
        <v>37.048242492517154</v>
      </c>
      <c r="U127" s="1"/>
      <c r="V127" s="1"/>
      <c r="W127" s="1">
        <v>0.3125</v>
      </c>
      <c r="X127" s="1">
        <v>68.5</v>
      </c>
      <c r="Y127" s="1">
        <v>1.22587</v>
      </c>
      <c r="Z127" s="1">
        <v>-0.86695999999999995</v>
      </c>
      <c r="AA127" s="1">
        <v>0.75161999999999995</v>
      </c>
    </row>
    <row r="128" spans="1:27" ht="16">
      <c r="A128" s="1"/>
      <c r="B128" s="1">
        <f t="shared" si="48"/>
        <v>0.625</v>
      </c>
      <c r="C128" s="1">
        <v>103.5</v>
      </c>
      <c r="D128" s="1">
        <f t="shared" si="49"/>
        <v>0.81091153567310115</v>
      </c>
      <c r="E128" s="1">
        <f t="shared" si="50"/>
        <v>8.7868459288880967</v>
      </c>
      <c r="F128" s="1">
        <f t="shared" si="54"/>
        <v>77.208661378017325</v>
      </c>
      <c r="G128" s="1"/>
      <c r="H128" s="30"/>
      <c r="I128" s="30">
        <v>0.625</v>
      </c>
      <c r="J128" s="30">
        <v>76.5</v>
      </c>
      <c r="K128" s="30">
        <v>3.6347800000000001</v>
      </c>
      <c r="L128" s="30">
        <v>5.8447899999999997</v>
      </c>
      <c r="M128" s="30">
        <v>34.1616</v>
      </c>
      <c r="N128" s="1"/>
      <c r="O128" s="1"/>
      <c r="P128" s="1">
        <f t="shared" si="51"/>
        <v>0.625</v>
      </c>
      <c r="Q128" s="22">
        <v>81.5</v>
      </c>
      <c r="R128" s="1">
        <f t="shared" si="52"/>
        <v>2.0420198160239296</v>
      </c>
      <c r="S128" s="1">
        <f t="shared" si="53"/>
        <v>-7.4301556364681201</v>
      </c>
      <c r="T128" s="1">
        <f t="shared" si="55"/>
        <v>55.207212782138974</v>
      </c>
      <c r="U128" s="1"/>
      <c r="V128" s="1"/>
      <c r="W128" s="1">
        <v>0.625</v>
      </c>
      <c r="X128" s="1">
        <v>73</v>
      </c>
      <c r="Y128" s="1">
        <v>2.4367100000000002</v>
      </c>
      <c r="Z128" s="1">
        <v>2.4222100000000002</v>
      </c>
      <c r="AA128" s="1">
        <v>5.8670799999999996</v>
      </c>
    </row>
    <row r="129" spans="1:27">
      <c r="A129" s="1"/>
      <c r="B129" s="1">
        <f t="shared" si="48"/>
        <v>1.25</v>
      </c>
      <c r="C129" s="1">
        <v>87.5</v>
      </c>
      <c r="D129" s="1">
        <f t="shared" si="49"/>
        <v>1.6118406161508303</v>
      </c>
      <c r="E129" s="1">
        <f t="shared" si="50"/>
        <v>-8.0140831515896327</v>
      </c>
      <c r="F129" s="1">
        <f t="shared" si="54"/>
        <v>64.225528760592823</v>
      </c>
      <c r="G129" s="1"/>
      <c r="H129" s="30"/>
      <c r="I129" s="30">
        <v>1.25</v>
      </c>
      <c r="J129" s="30">
        <v>90.5</v>
      </c>
      <c r="K129" s="30">
        <v>7.13368</v>
      </c>
      <c r="L129" s="30">
        <v>16.3459</v>
      </c>
      <c r="M129" s="30">
        <v>267.18799999999999</v>
      </c>
      <c r="N129" s="1"/>
      <c r="O129" s="1"/>
      <c r="P129" s="1">
        <f t="shared" si="51"/>
        <v>1.25</v>
      </c>
      <c r="Q129" s="1">
        <v>92.5</v>
      </c>
      <c r="R129" s="1">
        <f t="shared" si="52"/>
        <v>4.051409989157186</v>
      </c>
      <c r="S129" s="1">
        <f t="shared" si="53"/>
        <v>1.5604541903986231</v>
      </c>
      <c r="T129" s="1">
        <f t="shared" si="55"/>
        <v>2.4350172803326222</v>
      </c>
      <c r="U129" s="1"/>
      <c r="V129" s="1"/>
      <c r="W129" s="1">
        <v>1.25</v>
      </c>
      <c r="X129" s="1">
        <v>75.5</v>
      </c>
      <c r="Y129" s="1">
        <v>4.8143399999999996</v>
      </c>
      <c r="Z129" s="1">
        <v>2.5445700000000002</v>
      </c>
      <c r="AA129" s="1">
        <v>6.47485</v>
      </c>
    </row>
    <row r="130" spans="1:27">
      <c r="A130" s="1"/>
      <c r="B130" s="1">
        <f t="shared" si="48"/>
        <v>2.5</v>
      </c>
      <c r="C130" s="1">
        <v>118.5</v>
      </c>
      <c r="D130" s="1">
        <f t="shared" si="49"/>
        <v>3.184472705766773</v>
      </c>
      <c r="E130" s="1">
        <f t="shared" si="50"/>
        <v>21.413284758794425</v>
      </c>
      <c r="F130" s="1">
        <f t="shared" si="54"/>
        <v>458.52876416121762</v>
      </c>
      <c r="G130" s="1"/>
      <c r="H130" s="30"/>
      <c r="I130" s="30">
        <v>2.5</v>
      </c>
      <c r="J130" s="30">
        <v>86.5</v>
      </c>
      <c r="K130" s="30">
        <v>13.7524</v>
      </c>
      <c r="L130" s="30">
        <v>5.7271599999999996</v>
      </c>
      <c r="M130" s="30">
        <v>32.800400000000003</v>
      </c>
      <c r="N130" s="1"/>
      <c r="O130" s="1"/>
      <c r="P130" s="1">
        <f t="shared" si="51"/>
        <v>2.5</v>
      </c>
      <c r="Q130" s="1">
        <v>112</v>
      </c>
      <c r="R130" s="1">
        <f t="shared" si="52"/>
        <v>7.9753420367095886</v>
      </c>
      <c r="S130" s="1">
        <f t="shared" si="53"/>
        <v>17.136522142846221</v>
      </c>
      <c r="T130" s="1">
        <f t="shared" si="55"/>
        <v>293.66039115225885</v>
      </c>
      <c r="U130" s="1"/>
      <c r="V130" s="1"/>
      <c r="W130" s="1">
        <v>2.5</v>
      </c>
      <c r="X130" s="1">
        <v>74.5</v>
      </c>
      <c r="Y130" s="1">
        <v>9.4006100000000004</v>
      </c>
      <c r="Z130" s="1">
        <v>-3.0417000000000001</v>
      </c>
      <c r="AA130" s="1">
        <v>9.2519200000000001</v>
      </c>
    </row>
    <row r="131" spans="1:27">
      <c r="A131" s="1"/>
      <c r="B131" s="1">
        <f t="shared" si="48"/>
        <v>5</v>
      </c>
      <c r="C131" s="1">
        <v>74.5</v>
      </c>
      <c r="D131" s="1">
        <f t="shared" si="49"/>
        <v>6.2176463996987215</v>
      </c>
      <c r="E131" s="1">
        <f t="shared" si="50"/>
        <v>-25.619888935137524</v>
      </c>
      <c r="F131" s="1">
        <f t="shared" si="54"/>
        <v>656.37870904878218</v>
      </c>
      <c r="G131" s="1"/>
      <c r="H131" s="30"/>
      <c r="I131" s="30">
        <v>5</v>
      </c>
      <c r="J131" s="30">
        <v>103</v>
      </c>
      <c r="K131" s="30">
        <v>25.6478</v>
      </c>
      <c r="L131" s="30">
        <v>10.3317</v>
      </c>
      <c r="M131" s="30">
        <v>106.744</v>
      </c>
      <c r="N131" s="1"/>
      <c r="O131" s="1"/>
      <c r="P131" s="1">
        <f t="shared" si="51"/>
        <v>5</v>
      </c>
      <c r="Q131" s="33">
        <v>123</v>
      </c>
      <c r="R131" s="1">
        <f t="shared" si="52"/>
        <v>15.463830397582916</v>
      </c>
      <c r="S131" s="1">
        <f t="shared" si="53"/>
        <v>20.648033781972892</v>
      </c>
      <c r="T131" s="1">
        <f t="shared" si="55"/>
        <v>426.34129906149377</v>
      </c>
      <c r="U131" s="1"/>
      <c r="V131" s="1"/>
      <c r="W131" s="1">
        <v>5</v>
      </c>
      <c r="X131" s="1">
        <v>84.5</v>
      </c>
      <c r="Y131" s="1">
        <v>17.9498</v>
      </c>
      <c r="Z131" s="1">
        <v>-1.5908500000000001</v>
      </c>
      <c r="AA131" s="1">
        <v>2.5308000000000002</v>
      </c>
    </row>
    <row r="132" spans="1:27" ht="16">
      <c r="A132" s="1"/>
      <c r="B132" s="1">
        <f t="shared" si="48"/>
        <v>10</v>
      </c>
      <c r="C132" s="1">
        <v>106.5</v>
      </c>
      <c r="D132" s="1">
        <f t="shared" si="49"/>
        <v>11.870924785042126</v>
      </c>
      <c r="E132" s="1">
        <f t="shared" si="50"/>
        <v>0.72683267951907204</v>
      </c>
      <c r="F132" s="1">
        <f t="shared" si="54"/>
        <v>0.52828574401687411</v>
      </c>
      <c r="G132" s="1"/>
      <c r="H132" s="30"/>
      <c r="I132" s="30">
        <v>10</v>
      </c>
      <c r="J132" s="30">
        <v>120.5</v>
      </c>
      <c r="K132" s="30">
        <v>45.167900000000003</v>
      </c>
      <c r="L132" s="30">
        <v>8.3117199999999993</v>
      </c>
      <c r="M132" s="30">
        <v>69.084599999999995</v>
      </c>
      <c r="N132" s="1"/>
      <c r="O132" s="1"/>
      <c r="P132" s="1">
        <f t="shared" si="51"/>
        <v>10</v>
      </c>
      <c r="Q132" s="22">
        <v>124.5</v>
      </c>
      <c r="R132" s="1">
        <f t="shared" si="52"/>
        <v>29.146551110542241</v>
      </c>
      <c r="S132" s="1">
        <f t="shared" si="53"/>
        <v>8.4653130690135683</v>
      </c>
      <c r="T132" s="1">
        <f t="shared" si="55"/>
        <v>71.661525356411914</v>
      </c>
      <c r="U132" s="1"/>
      <c r="V132" s="1"/>
      <c r="W132" s="1">
        <v>10</v>
      </c>
      <c r="X132" s="1">
        <v>100.5</v>
      </c>
      <c r="Y132" s="1">
        <v>32.911900000000003</v>
      </c>
      <c r="Z132" s="1">
        <v>-0.55296000000000001</v>
      </c>
      <c r="AA132" s="1">
        <v>0.30575999999999998</v>
      </c>
    </row>
    <row r="133" spans="1:27" ht="16">
      <c r="A133" s="1"/>
      <c r="B133" s="1">
        <f t="shared" si="48"/>
        <v>20</v>
      </c>
      <c r="C133" s="1">
        <v>113</v>
      </c>
      <c r="D133" s="1">
        <f t="shared" si="49"/>
        <v>21.764170367201871</v>
      </c>
      <c r="E133" s="1">
        <f t="shared" si="50"/>
        <v>-2.6664129026406727</v>
      </c>
      <c r="F133" s="1">
        <f t="shared" si="54"/>
        <v>7.1097577673686576</v>
      </c>
      <c r="G133" s="1"/>
      <c r="H133" s="30"/>
      <c r="I133" s="30">
        <v>20</v>
      </c>
      <c r="J133" s="30">
        <v>125.5</v>
      </c>
      <c r="K133" s="30">
        <v>72.826499999999996</v>
      </c>
      <c r="L133" s="30">
        <v>-14.347</v>
      </c>
      <c r="M133" s="30">
        <v>205.834</v>
      </c>
      <c r="N133" s="1"/>
      <c r="O133" s="1"/>
      <c r="P133" s="1">
        <f t="shared" si="51"/>
        <v>20</v>
      </c>
      <c r="Q133" s="22">
        <v>122.5</v>
      </c>
      <c r="R133" s="1">
        <f t="shared" si="52"/>
        <v>52.263149237612275</v>
      </c>
      <c r="S133" s="1">
        <f t="shared" si="53"/>
        <v>-16.651285058056466</v>
      </c>
      <c r="T133" s="1">
        <f t="shared" si="55"/>
        <v>277.2652940846545</v>
      </c>
      <c r="U133" s="1"/>
      <c r="V133" s="1"/>
      <c r="W133" s="1">
        <v>20</v>
      </c>
      <c r="X133" s="1">
        <v>118.5</v>
      </c>
      <c r="Y133" s="1">
        <v>56.4041</v>
      </c>
      <c r="Z133" s="1">
        <v>-6.04514</v>
      </c>
      <c r="AA133" s="1">
        <v>36.543700000000001</v>
      </c>
    </row>
    <row r="134" spans="1:27" ht="16">
      <c r="A134" s="1"/>
      <c r="B134" s="1">
        <f t="shared" si="48"/>
        <v>40</v>
      </c>
      <c r="C134" s="1">
        <v>130</v>
      </c>
      <c r="D134" s="1">
        <f t="shared" si="49"/>
        <v>37.303390421218616</v>
      </c>
      <c r="E134" s="1">
        <f t="shared" si="50"/>
        <v>-1.2056329566574178</v>
      </c>
      <c r="F134" s="1">
        <f t="shared" si="54"/>
        <v>1.4535508261785071</v>
      </c>
      <c r="G134" s="1"/>
      <c r="H134" s="30"/>
      <c r="I134" s="30">
        <v>40</v>
      </c>
      <c r="J134" s="30">
        <v>167.5</v>
      </c>
      <c r="K134" s="30">
        <v>104.776</v>
      </c>
      <c r="L134" s="30">
        <v>-4.2968000000000002</v>
      </c>
      <c r="M134" s="30">
        <v>18.462599999999998</v>
      </c>
      <c r="N134" s="1"/>
      <c r="O134" s="1"/>
      <c r="P134" s="1">
        <f t="shared" si="51"/>
        <v>40</v>
      </c>
      <c r="Q134" s="22">
        <v>171</v>
      </c>
      <c r="R134" s="1">
        <f t="shared" si="52"/>
        <v>86.572731474017232</v>
      </c>
      <c r="S134" s="1">
        <f t="shared" si="53"/>
        <v>-2.4608672944614227</v>
      </c>
      <c r="T134" s="1">
        <f t="shared" si="55"/>
        <v>6.0558678409498823</v>
      </c>
      <c r="U134" s="1"/>
      <c r="V134" s="1"/>
      <c r="W134" s="1">
        <v>40</v>
      </c>
      <c r="X134" s="1">
        <v>158.5</v>
      </c>
      <c r="Y134" s="1">
        <v>87.626000000000005</v>
      </c>
      <c r="Z134" s="1">
        <v>2.7329500000000002</v>
      </c>
      <c r="AA134" s="1">
        <v>7.4690300000000001</v>
      </c>
    </row>
    <row r="135" spans="1:27" ht="16">
      <c r="A135" s="1"/>
      <c r="B135" s="1">
        <f t="shared" si="48"/>
        <v>80</v>
      </c>
      <c r="C135" s="1">
        <v>153.5</v>
      </c>
      <c r="D135" s="1">
        <f t="shared" si="49"/>
        <v>57.987773894736293</v>
      </c>
      <c r="E135" s="1">
        <f t="shared" si="50"/>
        <v>1.6099835698249052</v>
      </c>
      <c r="F135" s="1">
        <f t="shared" si="54"/>
        <v>2.5920470951061456</v>
      </c>
      <c r="G135" s="1"/>
      <c r="H135" s="30"/>
      <c r="I135" s="30">
        <v>80</v>
      </c>
      <c r="J135" s="30">
        <v>194</v>
      </c>
      <c r="K135" s="30">
        <v>133.99</v>
      </c>
      <c r="L135" s="30">
        <v>-7.0106999999999999</v>
      </c>
      <c r="M135" s="30">
        <v>49.1494</v>
      </c>
      <c r="N135" s="1"/>
      <c r="O135" s="1"/>
      <c r="P135" s="1">
        <f t="shared" si="51"/>
        <v>80</v>
      </c>
      <c r="Q135" s="22">
        <v>219.5</v>
      </c>
      <c r="R135" s="1">
        <f t="shared" si="52"/>
        <v>128.78680804872562</v>
      </c>
      <c r="S135" s="1">
        <f t="shared" si="53"/>
        <v>3.8250561308302053</v>
      </c>
      <c r="T135" s="1">
        <f t="shared" si="55"/>
        <v>14.631054404001741</v>
      </c>
      <c r="U135" s="1"/>
      <c r="V135" s="1"/>
      <c r="W135" s="1">
        <v>80</v>
      </c>
      <c r="X135" s="1">
        <v>191</v>
      </c>
      <c r="Y135" s="1">
        <v>121.01900000000001</v>
      </c>
      <c r="Z135" s="1">
        <v>1.8401799999999999</v>
      </c>
      <c r="AA135" s="1">
        <v>3.3862700000000001</v>
      </c>
    </row>
    <row r="136" spans="1:27" ht="16">
      <c r="A136" s="1"/>
      <c r="B136" s="1">
        <f t="shared" si="48"/>
        <v>160</v>
      </c>
      <c r="C136" s="1">
        <v>181.5</v>
      </c>
      <c r="D136" s="1">
        <f t="shared" si="49"/>
        <v>80.185752778252308</v>
      </c>
      <c r="E136" s="1">
        <f t="shared" si="50"/>
        <v>7.4120046863088902</v>
      </c>
      <c r="F136" s="1">
        <f t="shared" si="54"/>
        <v>54.937813469864949</v>
      </c>
      <c r="G136" s="1"/>
      <c r="H136" s="30"/>
      <c r="I136" s="30">
        <v>160</v>
      </c>
      <c r="J136" s="30">
        <v>246</v>
      </c>
      <c r="K136" s="30">
        <v>155.53299999999999</v>
      </c>
      <c r="L136" s="30">
        <v>23.4467</v>
      </c>
      <c r="M136" s="30">
        <v>549.74800000000005</v>
      </c>
      <c r="N136" s="1"/>
      <c r="O136" s="1"/>
      <c r="P136" s="1">
        <f t="shared" si="51"/>
        <v>160</v>
      </c>
      <c r="Q136" s="22">
        <v>256</v>
      </c>
      <c r="R136" s="1">
        <f t="shared" si="52"/>
        <v>170.1850109118173</v>
      </c>
      <c r="S136" s="1">
        <f t="shared" si="53"/>
        <v>-1.0731467322614776</v>
      </c>
      <c r="T136" s="1">
        <f t="shared" si="55"/>
        <v>1.1516439089634876</v>
      </c>
      <c r="U136" s="1"/>
      <c r="V136" s="1"/>
      <c r="W136" s="1">
        <v>160</v>
      </c>
      <c r="X136" s="1">
        <v>223</v>
      </c>
      <c r="Y136" s="1">
        <v>149.364</v>
      </c>
      <c r="Z136" s="1">
        <v>5.49465</v>
      </c>
      <c r="AA136" s="1">
        <v>30.191199999999998</v>
      </c>
    </row>
    <row r="137" spans="1:27" ht="16">
      <c r="A137" s="1"/>
      <c r="B137" s="1">
        <v>320</v>
      </c>
      <c r="C137" s="1">
        <v>188</v>
      </c>
      <c r="D137" s="1">
        <f t="shared" si="49"/>
        <v>99.119894011496356</v>
      </c>
      <c r="E137" s="1">
        <f t="shared" si="50"/>
        <v>-5.0221365469351582</v>
      </c>
      <c r="F137" s="1">
        <f t="shared" si="54"/>
        <v>25.221855496061796</v>
      </c>
      <c r="G137" s="1"/>
      <c r="H137" s="30"/>
      <c r="I137" s="30">
        <v>320</v>
      </c>
      <c r="J137" s="30">
        <v>224</v>
      </c>
      <c r="K137" s="30">
        <v>169.05199999999999</v>
      </c>
      <c r="L137" s="30">
        <v>-12.071999999999999</v>
      </c>
      <c r="M137" s="30">
        <v>145.738</v>
      </c>
      <c r="N137" s="1"/>
      <c r="O137" s="1"/>
      <c r="P137" s="1">
        <v>320</v>
      </c>
      <c r="Q137" s="22">
        <v>290</v>
      </c>
      <c r="R137" s="1">
        <f t="shared" si="52"/>
        <v>202.67278188920764</v>
      </c>
      <c r="S137" s="1">
        <f t="shared" si="53"/>
        <v>0.43908229034818191</v>
      </c>
      <c r="T137" s="1">
        <f t="shared" si="55"/>
        <v>0.19279325769740513</v>
      </c>
      <c r="U137" s="1"/>
      <c r="V137" s="1"/>
      <c r="W137" s="1">
        <v>320</v>
      </c>
      <c r="X137" s="1">
        <v>232</v>
      </c>
      <c r="Y137" s="1">
        <v>169.09</v>
      </c>
      <c r="Z137" s="1">
        <v>-5.2308500000000002</v>
      </c>
      <c r="AA137" s="1">
        <v>27.361799999999999</v>
      </c>
    </row>
    <row r="138" spans="1:27">
      <c r="A138" s="1"/>
      <c r="B138" s="1"/>
      <c r="C138" s="1"/>
      <c r="D138" s="1"/>
      <c r="E138" s="1"/>
      <c r="F138" s="1"/>
      <c r="G138" s="1"/>
      <c r="H138" s="30"/>
      <c r="I138" s="30"/>
      <c r="J138" s="30"/>
      <c r="K138" s="30"/>
      <c r="L138" s="30"/>
      <c r="M138" s="3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>
      <c r="A139" s="1" t="s">
        <v>104</v>
      </c>
      <c r="B139" s="1" t="s">
        <v>82</v>
      </c>
      <c r="C139" s="24" t="s">
        <v>81</v>
      </c>
      <c r="D139" s="24" t="s">
        <v>80</v>
      </c>
      <c r="E139" s="24"/>
      <c r="F139" s="1" t="s">
        <v>79</v>
      </c>
      <c r="G139" s="1"/>
      <c r="H139" s="30" t="s">
        <v>104</v>
      </c>
      <c r="I139" s="30" t="s">
        <v>82</v>
      </c>
      <c r="J139" s="38" t="s">
        <v>81</v>
      </c>
      <c r="K139" s="38" t="s">
        <v>123</v>
      </c>
      <c r="L139" s="38"/>
      <c r="M139" s="30" t="s">
        <v>79</v>
      </c>
      <c r="N139" s="1"/>
      <c r="O139" s="1" t="s">
        <v>104</v>
      </c>
      <c r="P139" s="1" t="s">
        <v>82</v>
      </c>
      <c r="Q139" s="24" t="s">
        <v>81</v>
      </c>
      <c r="R139" s="24" t="s">
        <v>80</v>
      </c>
      <c r="S139" s="24"/>
      <c r="T139" s="1" t="s">
        <v>79</v>
      </c>
      <c r="U139" s="1"/>
      <c r="V139" t="s">
        <v>104</v>
      </c>
      <c r="W139" t="s">
        <v>82</v>
      </c>
      <c r="X139" s="24" t="s">
        <v>81</v>
      </c>
      <c r="Y139" s="24" t="s">
        <v>80</v>
      </c>
      <c r="Z139" s="24"/>
      <c r="AA139" t="s">
        <v>79</v>
      </c>
    </row>
    <row r="140" spans="1:27" ht="16">
      <c r="A140" s="1">
        <v>93.902242535438802</v>
      </c>
      <c r="B140" s="25">
        <v>98.300800156067652</v>
      </c>
      <c r="C140" s="24">
        <v>129.64145884776968</v>
      </c>
      <c r="D140" s="24">
        <v>1</v>
      </c>
      <c r="E140" s="24"/>
      <c r="F140" s="21">
        <f>SUM(F124:F138)</f>
        <v>1570.8245280911212</v>
      </c>
      <c r="G140" s="1"/>
      <c r="H140" s="30">
        <v>67.020399999999995</v>
      </c>
      <c r="I140" s="39">
        <v>30.215699999999998</v>
      </c>
      <c r="J140" s="38">
        <v>185.06</v>
      </c>
      <c r="K140" s="38">
        <v>1</v>
      </c>
      <c r="L140" s="38"/>
      <c r="M140" s="31">
        <v>1985.52</v>
      </c>
      <c r="N140" s="1"/>
      <c r="O140" s="1">
        <v>86.888135820444191</v>
      </c>
      <c r="P140" s="25">
        <v>74.988507801830877</v>
      </c>
      <c r="Q140" s="24">
        <v>250.28742540970342</v>
      </c>
      <c r="R140" s="24">
        <v>1</v>
      </c>
      <c r="S140" s="24"/>
      <c r="T140" s="21">
        <f>SUM(T124:T138)</f>
        <v>2140.6939210043897</v>
      </c>
      <c r="U140" s="1"/>
      <c r="V140">
        <v>68.141084047378683</v>
      </c>
      <c r="W140" s="25">
        <v>48.325400706470461</v>
      </c>
      <c r="X140" s="24">
        <v>194.69466503319822</v>
      </c>
      <c r="Y140" s="24">
        <v>1</v>
      </c>
      <c r="Z140" s="24"/>
      <c r="AA140" s="21">
        <f>SUM(AA124:AA138)</f>
        <v>133.09335999999999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5113-3E7D-B141-B8D9-27D06CD3B4B5}">
  <dimension ref="A1:AL71"/>
  <sheetViews>
    <sheetView topLeftCell="A32" zoomScaleNormal="100" workbookViewId="0">
      <selection activeCell="I86" sqref="I86"/>
    </sheetView>
  </sheetViews>
  <sheetFormatPr baseColWidth="10" defaultColWidth="8.83203125" defaultRowHeight="15"/>
  <cols>
    <col min="1" max="12" width="8.83203125" style="10"/>
    <col min="13" max="13" width="9.1640625" style="10" bestFit="1" customWidth="1"/>
    <col min="14" max="16384" width="8.83203125" style="10"/>
  </cols>
  <sheetData>
    <row r="1" spans="1:18">
      <c r="A1" s="10" t="s">
        <v>124</v>
      </c>
      <c r="B1" s="68" t="s">
        <v>125</v>
      </c>
      <c r="C1" s="68"/>
      <c r="D1" s="68"/>
      <c r="E1" s="68"/>
      <c r="F1" s="68"/>
      <c r="H1" s="68" t="s">
        <v>126</v>
      </c>
      <c r="I1" s="68"/>
      <c r="J1" s="68"/>
      <c r="K1" s="68"/>
      <c r="L1" s="68"/>
      <c r="N1" s="68"/>
      <c r="O1" s="68"/>
      <c r="P1" s="68"/>
      <c r="Q1" s="68"/>
      <c r="R1" s="68"/>
    </row>
    <row r="2" spans="1:18">
      <c r="B2" s="10" t="s">
        <v>48</v>
      </c>
      <c r="C2" s="10" t="s">
        <v>113</v>
      </c>
      <c r="D2" s="10" t="s">
        <v>114</v>
      </c>
      <c r="E2" s="10" t="s">
        <v>127</v>
      </c>
      <c r="F2" s="10" t="s">
        <v>128</v>
      </c>
      <c r="H2" s="10" t="s">
        <v>48</v>
      </c>
      <c r="I2" s="10" t="s">
        <v>113</v>
      </c>
      <c r="J2" s="10" t="s">
        <v>114</v>
      </c>
      <c r="K2" s="10" t="s">
        <v>127</v>
      </c>
      <c r="L2" s="10" t="s">
        <v>128</v>
      </c>
    </row>
    <row r="3" spans="1:18">
      <c r="A3" s="10">
        <v>5</v>
      </c>
      <c r="B3" s="10">
        <v>-4112</v>
      </c>
      <c r="C3" s="10">
        <v>-4576</v>
      </c>
      <c r="D3" s="10">
        <v>-3657</v>
      </c>
      <c r="E3" s="10">
        <v>-3328</v>
      </c>
      <c r="F3" s="10">
        <v>-2495.3333333333321</v>
      </c>
      <c r="G3" s="10">
        <v>5</v>
      </c>
      <c r="H3" s="10">
        <v>-4431.6666666666679</v>
      </c>
      <c r="I3" s="10">
        <v>-3746.3333333333321</v>
      </c>
      <c r="J3" s="10">
        <v>-5264.6666666666679</v>
      </c>
      <c r="K3" s="10">
        <v>-3590.6666666666679</v>
      </c>
      <c r="L3" s="10">
        <v>-5322</v>
      </c>
    </row>
    <row r="4" spans="1:18">
      <c r="A4" s="10">
        <v>15</v>
      </c>
      <c r="B4" s="10">
        <v>-2402.6666666666679</v>
      </c>
      <c r="C4" s="10">
        <v>-3166</v>
      </c>
      <c r="D4" s="10">
        <v>-2136.3333333333321</v>
      </c>
      <c r="E4" s="10">
        <v>-1972</v>
      </c>
      <c r="F4" s="10">
        <v>-2384.6666666666679</v>
      </c>
      <c r="G4" s="10">
        <v>15</v>
      </c>
      <c r="H4" s="10">
        <v>-3059.6666666666679</v>
      </c>
      <c r="I4" s="10">
        <v>-2348.3333333333321</v>
      </c>
      <c r="J4" s="10">
        <v>-3756.3333333333321</v>
      </c>
      <c r="K4" s="10">
        <v>-1972.6666666666679</v>
      </c>
      <c r="L4" s="10">
        <v>-5104.3333333333321</v>
      </c>
    </row>
    <row r="5" spans="1:18">
      <c r="A5" s="10">
        <v>25</v>
      </c>
      <c r="B5" s="10">
        <v>-362.66666666666788</v>
      </c>
      <c r="C5" s="10">
        <v>-963</v>
      </c>
      <c r="D5" s="10">
        <v>-101</v>
      </c>
      <c r="E5" s="10">
        <v>-195</v>
      </c>
      <c r="F5" s="10">
        <v>-2327.6666666666679</v>
      </c>
      <c r="G5" s="10">
        <v>25</v>
      </c>
      <c r="H5" s="10">
        <v>-858</v>
      </c>
      <c r="I5" s="10">
        <v>-128</v>
      </c>
      <c r="J5" s="10">
        <v>-1542.3333333333321</v>
      </c>
      <c r="K5" s="10">
        <v>-88.333333333332121</v>
      </c>
      <c r="L5" s="10">
        <v>-4934.3333333333321</v>
      </c>
    </row>
    <row r="6" spans="1:18">
      <c r="A6" s="10">
        <v>35</v>
      </c>
      <c r="B6" s="10">
        <v>2165.6699999999983</v>
      </c>
      <c r="C6" s="10">
        <v>1576.0033333333304</v>
      </c>
      <c r="D6" s="10">
        <v>2447.6699999999983</v>
      </c>
      <c r="E6" s="10">
        <v>1654.6699999999983</v>
      </c>
      <c r="F6" s="10">
        <v>-2236.9966666666696</v>
      </c>
      <c r="G6" s="10">
        <v>35</v>
      </c>
      <c r="H6" s="10">
        <v>1723.6699999999983</v>
      </c>
      <c r="I6" s="10">
        <v>2862.6699999999983</v>
      </c>
      <c r="J6" s="10">
        <v>1492.0033333333304</v>
      </c>
      <c r="K6" s="10">
        <v>2003.3366666666661</v>
      </c>
      <c r="L6" s="10">
        <v>-4865.3300000000017</v>
      </c>
    </row>
    <row r="7" spans="1:18">
      <c r="A7" s="10">
        <v>60</v>
      </c>
      <c r="B7" s="10">
        <v>4002.6663333333345</v>
      </c>
      <c r="C7" s="10">
        <v>4124.9996666666666</v>
      </c>
      <c r="D7" s="10">
        <v>4715.6663333333345</v>
      </c>
      <c r="E7" s="10">
        <v>2495.6663333333345</v>
      </c>
      <c r="F7" s="10">
        <v>-586.0003333333334</v>
      </c>
      <c r="G7" s="10">
        <v>60</v>
      </c>
      <c r="H7" s="10">
        <v>4547.6663333333345</v>
      </c>
      <c r="I7" s="10">
        <v>5522.9996666666666</v>
      </c>
      <c r="J7" s="10">
        <v>5194.9996666666666</v>
      </c>
      <c r="K7" s="10">
        <v>2804.9996666666666</v>
      </c>
      <c r="L7" s="10">
        <v>-1489.0003333333325</v>
      </c>
    </row>
    <row r="8" spans="1:18">
      <c r="A8" s="10">
        <v>70</v>
      </c>
      <c r="B8" s="10">
        <v>4797.3336666666655</v>
      </c>
      <c r="C8" s="10">
        <v>4952.6669999999995</v>
      </c>
      <c r="D8" s="10">
        <v>5638.6669999999995</v>
      </c>
      <c r="E8" s="10">
        <v>2781.0003333333334</v>
      </c>
      <c r="F8" s="10">
        <v>-605.66633333333357</v>
      </c>
      <c r="G8" s="10">
        <v>70</v>
      </c>
      <c r="H8" s="10">
        <v>5521.3336666666655</v>
      </c>
      <c r="I8" s="10">
        <v>6701.0003333333334</v>
      </c>
      <c r="J8" s="10">
        <v>6461.3336666666655</v>
      </c>
      <c r="K8" s="10">
        <v>3215.6669999999995</v>
      </c>
      <c r="L8" s="10">
        <v>-1370.6663333333336</v>
      </c>
    </row>
    <row r="9" spans="1:18">
      <c r="A9" s="10">
        <v>80</v>
      </c>
      <c r="B9" s="10">
        <v>5445.6663333333336</v>
      </c>
      <c r="C9" s="10">
        <v>5728.3329999999996</v>
      </c>
      <c r="D9" s="10">
        <v>6294.3329999999996</v>
      </c>
      <c r="E9" s="10">
        <v>2987.9996666666657</v>
      </c>
      <c r="F9" s="10">
        <v>-485.66700000000037</v>
      </c>
      <c r="G9" s="10">
        <v>80</v>
      </c>
      <c r="H9" s="10">
        <v>6204.6663333333336</v>
      </c>
      <c r="I9" s="10">
        <v>7489.3329999999996</v>
      </c>
      <c r="J9" s="10">
        <v>7411.9996666666657</v>
      </c>
      <c r="K9" s="10">
        <v>3433.9996666666657</v>
      </c>
      <c r="L9" s="10">
        <v>-1210.0003333333334</v>
      </c>
    </row>
    <row r="10" spans="1:18">
      <c r="A10" s="10">
        <v>90</v>
      </c>
      <c r="B10" s="10">
        <v>5790</v>
      </c>
      <c r="C10" s="10">
        <v>6144.6666666666661</v>
      </c>
      <c r="D10" s="10">
        <v>6760.3333333333339</v>
      </c>
      <c r="E10" s="10">
        <v>3014.6666666666661</v>
      </c>
      <c r="F10" s="10">
        <v>-457.66666666666697</v>
      </c>
      <c r="G10" s="10">
        <v>90</v>
      </c>
      <c r="H10" s="10">
        <v>6584</v>
      </c>
      <c r="I10" s="10">
        <v>8036</v>
      </c>
      <c r="J10" s="10">
        <v>8100.3333333333339</v>
      </c>
      <c r="K10" s="10">
        <v>3429</v>
      </c>
      <c r="L10" s="10">
        <v>-1005.333333333333</v>
      </c>
    </row>
    <row r="11" spans="1:18">
      <c r="A11" s="10">
        <v>105</v>
      </c>
      <c r="B11" s="10">
        <v>6478.0003333333343</v>
      </c>
      <c r="C11" s="10">
        <v>6844.3336666666664</v>
      </c>
      <c r="D11" s="10">
        <v>7623.3336666666664</v>
      </c>
      <c r="E11" s="10">
        <v>3227.3336666666664</v>
      </c>
      <c r="F11" s="10">
        <v>-386.33299999999963</v>
      </c>
      <c r="G11" s="10">
        <v>105</v>
      </c>
      <c r="H11" s="10">
        <v>7417.3336666666664</v>
      </c>
      <c r="I11" s="10">
        <v>9109.0003333333334</v>
      </c>
      <c r="J11" s="10">
        <v>9198.6670000000013</v>
      </c>
      <c r="K11" s="10">
        <v>3651.0003333333343</v>
      </c>
      <c r="L11" s="10">
        <v>-907.66633333333266</v>
      </c>
    </row>
    <row r="12" spans="1:18">
      <c r="A12" s="10">
        <v>120</v>
      </c>
      <c r="B12" s="10">
        <v>6419.3329999999996</v>
      </c>
      <c r="C12" s="10">
        <v>6954.9996666666657</v>
      </c>
      <c r="D12" s="10">
        <v>7667.9996666666657</v>
      </c>
      <c r="E12" s="10">
        <v>3108.6663333333327</v>
      </c>
      <c r="F12" s="10">
        <v>-323.0003333333334</v>
      </c>
      <c r="G12" s="10">
        <v>120</v>
      </c>
      <c r="H12" s="10">
        <v>7443.3329999999996</v>
      </c>
      <c r="I12" s="10">
        <v>9160.9996666666666</v>
      </c>
      <c r="J12" s="10">
        <v>9400.3329999999987</v>
      </c>
      <c r="K12" s="10">
        <v>3500.3329999999996</v>
      </c>
      <c r="L12" s="10">
        <v>-735.66700000000037</v>
      </c>
    </row>
    <row r="13" spans="1:18">
      <c r="A13" s="10">
        <v>135</v>
      </c>
      <c r="B13" s="10">
        <v>6844.6669999999995</v>
      </c>
      <c r="C13" s="10">
        <v>7423.6669999999995</v>
      </c>
      <c r="D13" s="10">
        <v>8219.3336666666655</v>
      </c>
      <c r="E13" s="10">
        <v>3237.6669999999999</v>
      </c>
      <c r="F13" s="10">
        <v>-264.33300000000008</v>
      </c>
      <c r="G13" s="10">
        <v>135</v>
      </c>
      <c r="H13" s="10">
        <v>7952.3336666666655</v>
      </c>
      <c r="I13" s="10">
        <v>9770.3336666666655</v>
      </c>
      <c r="J13" s="10">
        <v>10072.000333333333</v>
      </c>
      <c r="K13" s="10">
        <v>3612.6669999999999</v>
      </c>
      <c r="L13" s="10">
        <v>-637.9996666666666</v>
      </c>
    </row>
    <row r="14" spans="1:18">
      <c r="A14" s="10">
        <v>150</v>
      </c>
      <c r="B14" s="10">
        <v>7373.0003333333334</v>
      </c>
      <c r="C14" s="10">
        <v>8054.0003333333334</v>
      </c>
      <c r="D14" s="10">
        <v>8868.6669999999995</v>
      </c>
      <c r="E14" s="10">
        <v>3347.0003333333329</v>
      </c>
      <c r="F14" s="10">
        <v>-238.9996666666666</v>
      </c>
      <c r="G14" s="10">
        <v>150</v>
      </c>
      <c r="H14" s="10">
        <v>8462.3336666666655</v>
      </c>
      <c r="I14" s="10">
        <v>10492.666999999999</v>
      </c>
      <c r="J14" s="10">
        <v>10879.333666666666</v>
      </c>
      <c r="K14" s="10">
        <v>3724.6669999999999</v>
      </c>
      <c r="L14" s="10">
        <v>-568.66633333333357</v>
      </c>
    </row>
    <row r="15" spans="1:18">
      <c r="A15" s="10">
        <v>165</v>
      </c>
      <c r="B15" s="10">
        <v>7385.6669999999995</v>
      </c>
      <c r="C15" s="10">
        <v>8070.3336666666655</v>
      </c>
      <c r="D15" s="10">
        <v>8887.0003333333334</v>
      </c>
      <c r="E15" s="10">
        <v>3300.3336666666669</v>
      </c>
      <c r="F15" s="10">
        <v>-182.33300000000008</v>
      </c>
      <c r="G15" s="10">
        <v>165</v>
      </c>
      <c r="H15" s="10">
        <v>8589.6669999999995</v>
      </c>
      <c r="I15" s="10">
        <v>10571.000333333333</v>
      </c>
      <c r="J15" s="10">
        <v>10955.666999999999</v>
      </c>
      <c r="K15" s="10">
        <v>3616.6669999999999</v>
      </c>
      <c r="L15" s="10">
        <v>-500.66633333333357</v>
      </c>
    </row>
    <row r="16" spans="1:18">
      <c r="A16" s="10">
        <v>180</v>
      </c>
      <c r="B16" s="10">
        <v>7562.6663333333345</v>
      </c>
      <c r="C16" s="10">
        <v>8263.9996666666666</v>
      </c>
      <c r="D16" s="10">
        <v>9105.3330000000005</v>
      </c>
      <c r="E16" s="10">
        <v>3290.3330000000001</v>
      </c>
      <c r="F16" s="10">
        <v>-211.66699999999992</v>
      </c>
      <c r="G16" s="10">
        <v>180</v>
      </c>
      <c r="H16" s="10">
        <v>8784.9996666666666</v>
      </c>
      <c r="I16" s="10">
        <v>10920.333000000001</v>
      </c>
      <c r="J16" s="10">
        <v>11386.333000000001</v>
      </c>
      <c r="K16" s="10">
        <v>3678.6663333333331</v>
      </c>
      <c r="L16" s="10">
        <v>-462.66699999999992</v>
      </c>
    </row>
    <row r="19" spans="1:19">
      <c r="C19" s="68" t="s">
        <v>126</v>
      </c>
      <c r="D19" s="68"/>
      <c r="E19" s="68"/>
      <c r="F19" s="68"/>
      <c r="G19" s="68"/>
    </row>
    <row r="20" spans="1:19">
      <c r="A20" s="10" t="s">
        <v>132</v>
      </c>
      <c r="C20" s="15" t="s">
        <v>48</v>
      </c>
      <c r="D20" s="15" t="s">
        <v>113</v>
      </c>
      <c r="E20" s="15" t="s">
        <v>114</v>
      </c>
      <c r="F20" s="15" t="s">
        <v>127</v>
      </c>
      <c r="G20" s="15" t="s">
        <v>128</v>
      </c>
      <c r="H20" s="15"/>
      <c r="I20" s="15" t="s">
        <v>48</v>
      </c>
      <c r="J20" s="15" t="s">
        <v>113</v>
      </c>
      <c r="K20" s="15" t="s">
        <v>114</v>
      </c>
      <c r="L20" s="15" t="s">
        <v>127</v>
      </c>
      <c r="M20" s="15" t="s">
        <v>128</v>
      </c>
      <c r="N20" s="15"/>
      <c r="O20" s="15" t="s">
        <v>48</v>
      </c>
      <c r="P20" s="15" t="s">
        <v>113</v>
      </c>
      <c r="Q20" s="15" t="s">
        <v>114</v>
      </c>
      <c r="R20" s="15" t="s">
        <v>127</v>
      </c>
      <c r="S20" s="15" t="s">
        <v>128</v>
      </c>
    </row>
    <row r="21" spans="1:19">
      <c r="A21" s="10">
        <v>89</v>
      </c>
      <c r="B21" s="10">
        <v>0</v>
      </c>
      <c r="C21" s="10">
        <v>-4431.6666666666679</v>
      </c>
      <c r="D21" s="10">
        <v>-3746.3333333333321</v>
      </c>
      <c r="E21" s="10">
        <v>-5264.6666666666679</v>
      </c>
      <c r="F21" s="10">
        <v>-3590.6666666666679</v>
      </c>
      <c r="G21" s="10">
        <v>-5322</v>
      </c>
      <c r="I21" s="10">
        <f>C21+5322</f>
        <v>890.33333333333212</v>
      </c>
      <c r="J21" s="10">
        <f t="shared" ref="J21:M36" si="0">D21+5322</f>
        <v>1575.6666666666679</v>
      </c>
      <c r="K21" s="10">
        <f t="shared" si="0"/>
        <v>57.333333333332121</v>
      </c>
      <c r="L21" s="10">
        <f t="shared" si="0"/>
        <v>1731.3333333333321</v>
      </c>
      <c r="M21" s="10">
        <v>0</v>
      </c>
      <c r="N21" s="10">
        <v>0</v>
      </c>
      <c r="O21" s="10">
        <v>-4431.6666666666679</v>
      </c>
      <c r="P21" s="10">
        <v>-3746.3333333333321</v>
      </c>
      <c r="Q21" s="10">
        <v>-5264.6666666666679</v>
      </c>
      <c r="R21" s="10">
        <v>-3590.6666666666679</v>
      </c>
      <c r="S21" s="10">
        <v>-5322</v>
      </c>
    </row>
    <row r="22" spans="1:19">
      <c r="B22" s="10">
        <v>10</v>
      </c>
      <c r="C22" s="10">
        <v>-3059.6666666666679</v>
      </c>
      <c r="D22" s="10">
        <v>-2348.3333333333321</v>
      </c>
      <c r="E22" s="10">
        <v>-3756.3333333333321</v>
      </c>
      <c r="F22" s="10">
        <v>-1972.6666666666679</v>
      </c>
      <c r="G22" s="10">
        <v>-5104.3333333333321</v>
      </c>
      <c r="I22" s="10">
        <f t="shared" ref="I22:I36" si="1">C22+5322</f>
        <v>2262.3333333333321</v>
      </c>
      <c r="J22" s="10">
        <f t="shared" si="0"/>
        <v>2973.6666666666679</v>
      </c>
      <c r="K22" s="10">
        <f t="shared" si="0"/>
        <v>1565.6666666666679</v>
      </c>
      <c r="L22" s="10">
        <f t="shared" si="0"/>
        <v>3349.3333333333321</v>
      </c>
      <c r="M22" s="10">
        <f t="shared" si="0"/>
        <v>217.66666666666788</v>
      </c>
      <c r="N22" s="10">
        <v>10</v>
      </c>
      <c r="O22" s="10">
        <v>-3059.6666666666679</v>
      </c>
      <c r="P22" s="10">
        <v>-2348.3333333333321</v>
      </c>
      <c r="Q22" s="10">
        <v>-3756.3333333333321</v>
      </c>
      <c r="R22" s="10">
        <v>-1972.6666666666679</v>
      </c>
      <c r="S22" s="10">
        <v>-5104.3333333333321</v>
      </c>
    </row>
    <row r="23" spans="1:19">
      <c r="B23" s="10">
        <v>20</v>
      </c>
      <c r="C23" s="10">
        <v>-858</v>
      </c>
      <c r="D23" s="10">
        <v>-128</v>
      </c>
      <c r="E23" s="10">
        <v>-1542.3333333333321</v>
      </c>
      <c r="F23" s="10">
        <v>-88.333333333332121</v>
      </c>
      <c r="G23" s="10">
        <v>-4934.3333333333321</v>
      </c>
      <c r="I23" s="10">
        <f t="shared" si="1"/>
        <v>4464</v>
      </c>
      <c r="J23" s="10">
        <f t="shared" si="0"/>
        <v>5194</v>
      </c>
      <c r="K23" s="10">
        <f t="shared" si="0"/>
        <v>3779.6666666666679</v>
      </c>
      <c r="L23" s="10">
        <f t="shared" si="0"/>
        <v>5233.6666666666679</v>
      </c>
      <c r="M23" s="10">
        <f t="shared" si="0"/>
        <v>387.66666666666788</v>
      </c>
      <c r="N23" s="10">
        <v>20</v>
      </c>
      <c r="O23" s="10">
        <v>-858</v>
      </c>
      <c r="P23" s="10">
        <v>-128</v>
      </c>
      <c r="Q23" s="10">
        <v>-1542.3333333333321</v>
      </c>
      <c r="R23" s="10">
        <v>-88.333333333332121</v>
      </c>
      <c r="S23" s="10">
        <v>-4934.3333333333321</v>
      </c>
    </row>
    <row r="24" spans="1:19">
      <c r="B24" s="10">
        <v>30</v>
      </c>
      <c r="C24" s="10">
        <v>1723.6699999999983</v>
      </c>
      <c r="D24" s="10">
        <v>2862.6699999999983</v>
      </c>
      <c r="E24" s="10">
        <v>1492.0033333333304</v>
      </c>
      <c r="F24" s="10">
        <v>2003.3366666666661</v>
      </c>
      <c r="G24" s="10">
        <v>-4865.3300000000017</v>
      </c>
      <c r="I24" s="10">
        <f t="shared" si="1"/>
        <v>7045.6699999999983</v>
      </c>
      <c r="J24" s="10">
        <f t="shared" si="0"/>
        <v>8184.6699999999983</v>
      </c>
      <c r="K24" s="10">
        <f t="shared" si="0"/>
        <v>6814.0033333333304</v>
      </c>
      <c r="L24" s="10">
        <f t="shared" si="0"/>
        <v>7325.3366666666661</v>
      </c>
      <c r="M24" s="10">
        <f t="shared" si="0"/>
        <v>456.66999999999825</v>
      </c>
      <c r="N24" s="10">
        <v>30</v>
      </c>
      <c r="O24" s="10">
        <v>1723.6699999999983</v>
      </c>
      <c r="P24" s="10">
        <v>2862.6699999999983</v>
      </c>
      <c r="Q24" s="10">
        <v>1492.0033333333304</v>
      </c>
      <c r="R24" s="10">
        <v>2003.3366666666661</v>
      </c>
      <c r="S24" s="10">
        <v>-4865.3300000000017</v>
      </c>
    </row>
    <row r="25" spans="1:19">
      <c r="B25" s="10">
        <v>40</v>
      </c>
      <c r="C25" s="10">
        <v>5167.3366666666625</v>
      </c>
      <c r="D25" s="10">
        <v>6728.003333333334</v>
      </c>
      <c r="E25" s="10">
        <v>5596.003333333334</v>
      </c>
      <c r="F25" s="10">
        <v>4087.003333333334</v>
      </c>
      <c r="G25" s="10">
        <v>-4697.9966666666696</v>
      </c>
      <c r="I25" s="10">
        <f t="shared" si="1"/>
        <v>10489.336666666662</v>
      </c>
      <c r="J25" s="10">
        <f t="shared" si="0"/>
        <v>12050.003333333334</v>
      </c>
      <c r="K25" s="10">
        <f t="shared" si="0"/>
        <v>10918.003333333334</v>
      </c>
      <c r="L25" s="10">
        <f t="shared" si="0"/>
        <v>9409.003333333334</v>
      </c>
      <c r="M25" s="10">
        <f t="shared" si="0"/>
        <v>624.00333333333037</v>
      </c>
      <c r="N25" s="10">
        <v>40</v>
      </c>
      <c r="O25" s="10">
        <v>5167.3366666666625</v>
      </c>
      <c r="P25" s="10">
        <v>6728.003333333334</v>
      </c>
      <c r="Q25" s="10">
        <v>5596.003333333334</v>
      </c>
      <c r="R25" s="10">
        <v>4087.003333333334</v>
      </c>
      <c r="S25" s="10">
        <v>-4697.9966666666696</v>
      </c>
    </row>
    <row r="26" spans="1:19">
      <c r="B26" s="10">
        <v>50</v>
      </c>
      <c r="C26" s="10">
        <v>9248.6699999999983</v>
      </c>
      <c r="D26" s="10">
        <v>11322.336666666662</v>
      </c>
      <c r="E26" s="10">
        <v>10125.003333333334</v>
      </c>
      <c r="F26" s="10">
        <v>6168.3366666666625</v>
      </c>
      <c r="G26" s="10">
        <v>-4619.6633333333339</v>
      </c>
      <c r="I26" s="10">
        <f t="shared" si="1"/>
        <v>14570.669999999998</v>
      </c>
      <c r="J26" s="10">
        <f t="shared" si="0"/>
        <v>16644.336666666662</v>
      </c>
      <c r="K26" s="10">
        <f t="shared" si="0"/>
        <v>15447.003333333334</v>
      </c>
      <c r="L26" s="10">
        <f t="shared" si="0"/>
        <v>11490.336666666662</v>
      </c>
      <c r="M26" s="10">
        <f t="shared" si="0"/>
        <v>702.33666666666613</v>
      </c>
      <c r="N26" s="10">
        <v>50</v>
      </c>
      <c r="O26" s="10">
        <v>9248.6699999999983</v>
      </c>
      <c r="P26" s="10">
        <v>11322.336666666662</v>
      </c>
      <c r="Q26" s="10">
        <v>10125.003333333334</v>
      </c>
      <c r="R26" s="10">
        <v>6168.3366666666625</v>
      </c>
      <c r="S26" s="10">
        <v>-4619.6633333333339</v>
      </c>
    </row>
    <row r="27" spans="1:19">
      <c r="A27" s="10">
        <v>77</v>
      </c>
      <c r="B27" s="10">
        <v>60</v>
      </c>
      <c r="C27" s="10">
        <v>4547.6663333333345</v>
      </c>
      <c r="D27" s="10">
        <v>5522.9996666666666</v>
      </c>
      <c r="E27" s="10">
        <v>5194.9996666666666</v>
      </c>
      <c r="F27" s="10">
        <v>2804.9996666666666</v>
      </c>
      <c r="G27" s="10">
        <v>-1489.0003333333325</v>
      </c>
      <c r="I27" s="10">
        <f t="shared" si="1"/>
        <v>9869.6663333333345</v>
      </c>
      <c r="J27" s="10">
        <f t="shared" si="0"/>
        <v>10844.999666666667</v>
      </c>
      <c r="K27" s="10">
        <f t="shared" si="0"/>
        <v>10516.999666666667</v>
      </c>
      <c r="L27" s="10">
        <f t="shared" si="0"/>
        <v>8126.9996666666666</v>
      </c>
      <c r="M27" s="10">
        <f t="shared" si="0"/>
        <v>3832.9996666666675</v>
      </c>
      <c r="N27" s="10">
        <v>60</v>
      </c>
      <c r="O27" s="10">
        <f>C27*(89/77)</f>
        <v>5256.3935541125556</v>
      </c>
      <c r="P27" s="10">
        <f t="shared" ref="P27:S27" si="2">D27*(89/77)</f>
        <v>6383.7268874458878</v>
      </c>
      <c r="Q27" s="10">
        <f t="shared" si="2"/>
        <v>6004.6100043290044</v>
      </c>
      <c r="R27" s="10">
        <f t="shared" si="2"/>
        <v>3242.1424718614721</v>
      </c>
      <c r="S27" s="10">
        <f t="shared" si="2"/>
        <v>-1721.0523333333324</v>
      </c>
    </row>
    <row r="28" spans="1:19">
      <c r="A28" s="10">
        <v>76</v>
      </c>
      <c r="B28" s="10">
        <v>70</v>
      </c>
      <c r="C28" s="10">
        <v>5521.3336666666655</v>
      </c>
      <c r="D28" s="10">
        <v>6701.0003333333334</v>
      </c>
      <c r="E28" s="10">
        <v>6461.3336666666655</v>
      </c>
      <c r="F28" s="10">
        <v>3215.6669999999995</v>
      </c>
      <c r="G28" s="10">
        <v>-1370.6663333333336</v>
      </c>
      <c r="I28" s="10">
        <f t="shared" si="1"/>
        <v>10843.333666666666</v>
      </c>
      <c r="J28" s="10">
        <f t="shared" si="0"/>
        <v>12023.000333333333</v>
      </c>
      <c r="K28" s="10">
        <f t="shared" si="0"/>
        <v>11783.333666666666</v>
      </c>
      <c r="L28" s="10">
        <f t="shared" si="0"/>
        <v>8537.6669999999995</v>
      </c>
      <c r="M28" s="10">
        <f t="shared" si="0"/>
        <v>3951.3336666666664</v>
      </c>
      <c r="N28" s="10">
        <v>70</v>
      </c>
      <c r="O28" s="10">
        <f>C28*89/76</f>
        <v>6465.772320175437</v>
      </c>
      <c r="P28" s="10">
        <f t="shared" ref="P28:S28" si="3">D28*89/76</f>
        <v>7847.2240745614035</v>
      </c>
      <c r="Q28" s="10">
        <f t="shared" si="3"/>
        <v>7566.5617938596479</v>
      </c>
      <c r="R28" s="10">
        <f t="shared" si="3"/>
        <v>3765.7153026315782</v>
      </c>
      <c r="S28" s="10">
        <f t="shared" si="3"/>
        <v>-1605.122416666667</v>
      </c>
    </row>
    <row r="29" spans="1:19">
      <c r="A29" s="10">
        <v>75</v>
      </c>
      <c r="B29" s="10">
        <v>80</v>
      </c>
      <c r="C29" s="10">
        <v>6204.6663333333336</v>
      </c>
      <c r="D29" s="10">
        <v>7489.3329999999996</v>
      </c>
      <c r="E29" s="10">
        <v>7411.9996666666657</v>
      </c>
      <c r="F29" s="10">
        <v>3433.9996666666657</v>
      </c>
      <c r="G29" s="10">
        <v>-1210.0003333333334</v>
      </c>
      <c r="I29" s="10">
        <f t="shared" si="1"/>
        <v>11526.666333333334</v>
      </c>
      <c r="J29" s="10">
        <f t="shared" si="0"/>
        <v>12811.332999999999</v>
      </c>
      <c r="K29" s="10">
        <f t="shared" si="0"/>
        <v>12733.999666666667</v>
      </c>
      <c r="L29" s="10">
        <f t="shared" si="0"/>
        <v>8755.9996666666666</v>
      </c>
      <c r="M29" s="10">
        <f t="shared" si="0"/>
        <v>4111.9996666666666</v>
      </c>
      <c r="N29" s="10">
        <v>80</v>
      </c>
      <c r="O29" s="10">
        <f>C29*89/75</f>
        <v>7362.8707155555567</v>
      </c>
      <c r="P29" s="10">
        <f t="shared" ref="P29:S29" si="4">D29*89/75</f>
        <v>8887.3418266666667</v>
      </c>
      <c r="Q29" s="10">
        <f t="shared" si="4"/>
        <v>8795.572937777777</v>
      </c>
      <c r="R29" s="10">
        <f t="shared" si="4"/>
        <v>4075.0129377777766</v>
      </c>
      <c r="S29" s="10">
        <f t="shared" si="4"/>
        <v>-1435.8670622222223</v>
      </c>
    </row>
    <row r="30" spans="1:19">
      <c r="A30" s="10">
        <v>73</v>
      </c>
      <c r="B30" s="10">
        <v>90</v>
      </c>
      <c r="C30" s="10">
        <v>6584</v>
      </c>
      <c r="D30" s="10">
        <v>8036</v>
      </c>
      <c r="E30" s="10">
        <v>8100.3333333333339</v>
      </c>
      <c r="F30" s="10">
        <v>3429</v>
      </c>
      <c r="G30" s="10">
        <v>-1005.333333333333</v>
      </c>
      <c r="I30" s="10">
        <f t="shared" si="1"/>
        <v>11906</v>
      </c>
      <c r="J30" s="10">
        <f t="shared" si="0"/>
        <v>13358</v>
      </c>
      <c r="K30" s="10">
        <f t="shared" si="0"/>
        <v>13422.333333333334</v>
      </c>
      <c r="L30" s="10">
        <f t="shared" si="0"/>
        <v>8751</v>
      </c>
      <c r="M30" s="10">
        <f t="shared" si="0"/>
        <v>4316.666666666667</v>
      </c>
      <c r="N30" s="10">
        <v>90</v>
      </c>
      <c r="O30" s="10">
        <f>C30*89/73</f>
        <v>8027.0684931506848</v>
      </c>
      <c r="P30" s="10">
        <f t="shared" ref="P30:S30" si="5">D30*89/73</f>
        <v>9797.3150684931516</v>
      </c>
      <c r="Q30" s="10">
        <f t="shared" si="5"/>
        <v>9875.7488584474904</v>
      </c>
      <c r="R30" s="10">
        <f t="shared" si="5"/>
        <v>4180.5616438356165</v>
      </c>
      <c r="S30" s="10">
        <f t="shared" si="5"/>
        <v>-1225.6803652968033</v>
      </c>
    </row>
    <row r="31" spans="1:19">
      <c r="A31" s="10">
        <v>72</v>
      </c>
      <c r="B31" s="10">
        <v>105</v>
      </c>
      <c r="C31" s="10">
        <v>7417.3336666666664</v>
      </c>
      <c r="D31" s="10">
        <v>9109.0003333333334</v>
      </c>
      <c r="E31" s="10">
        <v>9198.6670000000013</v>
      </c>
      <c r="F31" s="10">
        <v>3651.0003333333343</v>
      </c>
      <c r="G31" s="10">
        <v>-907.66633333333266</v>
      </c>
      <c r="I31" s="10">
        <f t="shared" si="1"/>
        <v>12739.333666666666</v>
      </c>
      <c r="J31" s="10">
        <f t="shared" si="0"/>
        <v>14431.000333333333</v>
      </c>
      <c r="K31" s="10">
        <f t="shared" si="0"/>
        <v>14520.667000000001</v>
      </c>
      <c r="L31" s="10">
        <f t="shared" si="0"/>
        <v>8973.0003333333334</v>
      </c>
      <c r="M31" s="10">
        <f t="shared" si="0"/>
        <v>4414.3336666666673</v>
      </c>
      <c r="N31" s="10">
        <v>105</v>
      </c>
      <c r="O31" s="10">
        <f>C31*89/72</f>
        <v>9168.6485601851837</v>
      </c>
      <c r="P31" s="10">
        <f t="shared" ref="P31:S31" si="6">D31*89/72</f>
        <v>11259.736523148147</v>
      </c>
      <c r="Q31" s="10">
        <f t="shared" si="6"/>
        <v>11370.574486111112</v>
      </c>
      <c r="R31" s="10">
        <f t="shared" si="6"/>
        <v>4513.0420787037046</v>
      </c>
      <c r="S31" s="10">
        <f t="shared" si="6"/>
        <v>-1121.9764398148138</v>
      </c>
    </row>
    <row r="32" spans="1:19">
      <c r="A32" s="10">
        <v>70</v>
      </c>
      <c r="B32" s="10">
        <v>120</v>
      </c>
      <c r="C32" s="10">
        <v>7443.3329999999996</v>
      </c>
      <c r="D32" s="10">
        <v>9160.9996666666666</v>
      </c>
      <c r="E32" s="10">
        <v>9400.3329999999987</v>
      </c>
      <c r="F32" s="10">
        <v>3500.3329999999996</v>
      </c>
      <c r="G32" s="10">
        <v>-735.66700000000037</v>
      </c>
      <c r="I32" s="10">
        <f t="shared" si="1"/>
        <v>12765.332999999999</v>
      </c>
      <c r="J32" s="10">
        <f t="shared" si="0"/>
        <v>14482.999666666667</v>
      </c>
      <c r="K32" s="10">
        <f t="shared" si="0"/>
        <v>14722.332999999999</v>
      </c>
      <c r="L32" s="10">
        <f t="shared" si="0"/>
        <v>8822.3329999999987</v>
      </c>
      <c r="M32" s="10">
        <f t="shared" si="0"/>
        <v>4586.3329999999996</v>
      </c>
      <c r="N32" s="10">
        <v>120</v>
      </c>
      <c r="O32" s="10">
        <f>C32*89/70</f>
        <v>9463.6662428571435</v>
      </c>
      <c r="P32" s="10">
        <f t="shared" ref="P32:S32" si="7">D32*89/70</f>
        <v>11647.556719047619</v>
      </c>
      <c r="Q32" s="10">
        <f t="shared" si="7"/>
        <v>11951.851957142855</v>
      </c>
      <c r="R32" s="10">
        <f t="shared" si="7"/>
        <v>4450.4233857142854</v>
      </c>
      <c r="S32" s="10">
        <f t="shared" si="7"/>
        <v>-935.34804285714335</v>
      </c>
    </row>
    <row r="33" spans="1:20">
      <c r="A33" s="10">
        <v>69</v>
      </c>
      <c r="B33" s="10">
        <v>135</v>
      </c>
      <c r="C33" s="10">
        <v>7952.3336666666655</v>
      </c>
      <c r="D33" s="10">
        <v>9770.3336666666655</v>
      </c>
      <c r="E33" s="10">
        <v>10072.000333333333</v>
      </c>
      <c r="F33" s="10">
        <v>3612.6669999999999</v>
      </c>
      <c r="G33" s="10">
        <v>-637.9996666666666</v>
      </c>
      <c r="I33" s="10">
        <f t="shared" si="1"/>
        <v>13274.333666666666</v>
      </c>
      <c r="J33" s="10">
        <f t="shared" si="0"/>
        <v>15092.333666666666</v>
      </c>
      <c r="K33" s="10">
        <f t="shared" si="0"/>
        <v>15394.000333333333</v>
      </c>
      <c r="L33" s="10">
        <f t="shared" si="0"/>
        <v>8934.6669999999995</v>
      </c>
      <c r="M33" s="10">
        <f t="shared" si="0"/>
        <v>4684.0003333333334</v>
      </c>
      <c r="N33" s="10">
        <v>135</v>
      </c>
      <c r="O33" s="10">
        <f>C33*89/69</f>
        <v>10257.357917874395</v>
      </c>
      <c r="P33" s="10">
        <f t="shared" ref="P33:S33" si="8">D33*89/69</f>
        <v>12602.314439613525</v>
      </c>
      <c r="Q33" s="10">
        <f t="shared" si="8"/>
        <v>12991.420719806763</v>
      </c>
      <c r="R33" s="10">
        <f t="shared" si="8"/>
        <v>4659.816855072464</v>
      </c>
      <c r="S33" s="10">
        <f t="shared" si="8"/>
        <v>-822.92710628019324</v>
      </c>
    </row>
    <row r="34" spans="1:20">
      <c r="A34" s="10">
        <v>68</v>
      </c>
      <c r="B34" s="10">
        <v>150</v>
      </c>
      <c r="C34" s="10">
        <v>8462.3336666666655</v>
      </c>
      <c r="D34" s="10">
        <v>10492.666999999999</v>
      </c>
      <c r="E34" s="10">
        <v>10879.333666666666</v>
      </c>
      <c r="F34" s="10">
        <v>3724.6669999999999</v>
      </c>
      <c r="G34" s="10">
        <v>-568.66633333333357</v>
      </c>
      <c r="I34" s="10">
        <f t="shared" si="1"/>
        <v>13784.333666666666</v>
      </c>
      <c r="J34" s="10">
        <f t="shared" si="0"/>
        <v>15814.666999999999</v>
      </c>
      <c r="K34" s="10">
        <f t="shared" si="0"/>
        <v>16201.333666666666</v>
      </c>
      <c r="L34" s="10">
        <f t="shared" si="0"/>
        <v>9046.6669999999995</v>
      </c>
      <c r="M34" s="10">
        <f t="shared" si="0"/>
        <v>4753.3336666666664</v>
      </c>
      <c r="N34" s="10">
        <v>150</v>
      </c>
      <c r="O34" s="10">
        <f>C34*89/68</f>
        <v>11075.701416666665</v>
      </c>
      <c r="P34" s="10">
        <f t="shared" ref="P34:S34" si="9">D34*89/68</f>
        <v>13733.049455882352</v>
      </c>
      <c r="Q34" s="10">
        <f t="shared" si="9"/>
        <v>14239.127887254901</v>
      </c>
      <c r="R34" s="10">
        <f t="shared" si="9"/>
        <v>4874.9318088235295</v>
      </c>
      <c r="S34" s="10">
        <f t="shared" si="9"/>
        <v>-744.28387745098075</v>
      </c>
    </row>
    <row r="35" spans="1:20">
      <c r="A35" s="10">
        <v>67</v>
      </c>
      <c r="B35" s="10">
        <v>165</v>
      </c>
      <c r="C35" s="10">
        <v>8589.6669999999995</v>
      </c>
      <c r="D35" s="10">
        <v>10571.000333333333</v>
      </c>
      <c r="E35" s="10">
        <v>10955.666999999999</v>
      </c>
      <c r="F35" s="10">
        <v>3616.6669999999999</v>
      </c>
      <c r="G35" s="10">
        <v>-500.66633333333357</v>
      </c>
      <c r="I35" s="10">
        <f t="shared" si="1"/>
        <v>13911.666999999999</v>
      </c>
      <c r="J35" s="10">
        <f t="shared" si="0"/>
        <v>15893.000333333333</v>
      </c>
      <c r="K35" s="10">
        <f t="shared" si="0"/>
        <v>16277.666999999999</v>
      </c>
      <c r="L35" s="10">
        <f t="shared" si="0"/>
        <v>8938.6669999999995</v>
      </c>
      <c r="M35" s="10">
        <f t="shared" si="0"/>
        <v>4821.3336666666664</v>
      </c>
      <c r="N35" s="10">
        <v>165</v>
      </c>
      <c r="O35" s="10">
        <f>C35*89/67</f>
        <v>11410.154671641789</v>
      </c>
      <c r="P35" s="10">
        <f t="shared" ref="P35:S35" si="10">D35*89/67</f>
        <v>14042.075069651741</v>
      </c>
      <c r="Q35" s="10">
        <f t="shared" si="10"/>
        <v>14553.050194029849</v>
      </c>
      <c r="R35" s="10">
        <f t="shared" si="10"/>
        <v>4804.2292985074628</v>
      </c>
      <c r="S35" s="10">
        <f t="shared" si="10"/>
        <v>-665.06423383084609</v>
      </c>
    </row>
    <row r="36" spans="1:20">
      <c r="A36" s="10">
        <v>66</v>
      </c>
      <c r="B36" s="10">
        <v>180</v>
      </c>
      <c r="C36" s="10">
        <v>8784.9996666666666</v>
      </c>
      <c r="D36" s="10">
        <v>10920.333000000001</v>
      </c>
      <c r="E36" s="10">
        <v>11386.333000000001</v>
      </c>
      <c r="F36" s="10">
        <v>3678.6663333333331</v>
      </c>
      <c r="G36" s="10">
        <v>-462.66699999999992</v>
      </c>
      <c r="I36" s="10">
        <f t="shared" si="1"/>
        <v>14106.999666666667</v>
      </c>
      <c r="J36" s="10">
        <f t="shared" si="0"/>
        <v>16242.333000000001</v>
      </c>
      <c r="K36" s="10">
        <f t="shared" si="0"/>
        <v>16708.332999999999</v>
      </c>
      <c r="L36" s="10">
        <f t="shared" si="0"/>
        <v>9000.6663333333327</v>
      </c>
      <c r="M36" s="10">
        <f t="shared" si="0"/>
        <v>4859.3330000000005</v>
      </c>
      <c r="N36" s="10">
        <v>180</v>
      </c>
      <c r="O36" s="10">
        <f>C36*89/66</f>
        <v>11846.438944444444</v>
      </c>
      <c r="P36" s="10">
        <f t="shared" ref="P36:S36" si="11">D36*89/66</f>
        <v>14725.903590909093</v>
      </c>
      <c r="Q36" s="10">
        <f t="shared" si="11"/>
        <v>15354.297530303033</v>
      </c>
      <c r="R36" s="10">
        <f t="shared" si="11"/>
        <v>4960.6258131313134</v>
      </c>
      <c r="S36" s="10">
        <f t="shared" si="11"/>
        <v>-623.89943939393925</v>
      </c>
    </row>
    <row r="39" spans="1:20">
      <c r="C39" s="15" t="s">
        <v>48</v>
      </c>
      <c r="D39" s="15" t="s">
        <v>113</v>
      </c>
      <c r="E39" s="15" t="s">
        <v>114</v>
      </c>
      <c r="F39" s="15" t="s">
        <v>127</v>
      </c>
      <c r="G39" s="15" t="s">
        <v>128</v>
      </c>
      <c r="J39" s="10" t="s">
        <v>129</v>
      </c>
      <c r="K39" s="10" t="s">
        <v>130</v>
      </c>
      <c r="L39" s="10" t="s">
        <v>131</v>
      </c>
      <c r="M39" s="10" t="s">
        <v>127</v>
      </c>
      <c r="N39" s="10" t="s">
        <v>128</v>
      </c>
    </row>
    <row r="40" spans="1:20">
      <c r="B40" s="10">
        <v>0</v>
      </c>
      <c r="C40" s="10">
        <v>-4431.6666666666679</v>
      </c>
      <c r="D40" s="10">
        <v>-3746.3333333333321</v>
      </c>
      <c r="E40" s="10">
        <v>-5264.6666666666679</v>
      </c>
      <c r="F40" s="10">
        <v>-3590.6666666666679</v>
      </c>
      <c r="G40" s="10">
        <v>-5322</v>
      </c>
      <c r="I40" s="10">
        <v>0</v>
      </c>
      <c r="J40" s="10">
        <f>C40+7322</f>
        <v>2890.3333333333321</v>
      </c>
      <c r="K40" s="10">
        <f t="shared" ref="K40:N55" si="12">D40+7322</f>
        <v>3575.6666666666679</v>
      </c>
      <c r="L40" s="10">
        <f t="shared" si="12"/>
        <v>2057.3333333333321</v>
      </c>
      <c r="M40" s="10">
        <f t="shared" si="12"/>
        <v>3731.3333333333321</v>
      </c>
      <c r="N40" s="10">
        <f t="shared" si="12"/>
        <v>2000</v>
      </c>
      <c r="P40" s="10">
        <v>379.3801962851162</v>
      </c>
      <c r="Q40" s="10">
        <v>1429.1161604292354</v>
      </c>
      <c r="R40" s="10">
        <v>1927.8242485593255</v>
      </c>
      <c r="S40" s="10">
        <v>998.03523651889952</v>
      </c>
      <c r="T40" s="10">
        <v>616.36785553217589</v>
      </c>
    </row>
    <row r="41" spans="1:20">
      <c r="B41" s="10">
        <v>10</v>
      </c>
      <c r="C41" s="10">
        <v>-3059.6666666666679</v>
      </c>
      <c r="D41" s="10">
        <v>-2348.3333333333321</v>
      </c>
      <c r="E41" s="10">
        <v>-3756.3333333333321</v>
      </c>
      <c r="F41" s="10">
        <v>-1972.6666666666679</v>
      </c>
      <c r="G41" s="10">
        <v>-5104.3333333333321</v>
      </c>
      <c r="I41" s="10">
        <v>10</v>
      </c>
      <c r="J41" s="10">
        <f t="shared" ref="J41:J55" si="13">C41+7322</f>
        <v>4262.3333333333321</v>
      </c>
      <c r="K41" s="10">
        <f t="shared" si="12"/>
        <v>4973.6666666666679</v>
      </c>
      <c r="L41" s="10">
        <f t="shared" si="12"/>
        <v>3565.6666666666679</v>
      </c>
      <c r="M41" s="10">
        <f t="shared" si="12"/>
        <v>5349.3333333333321</v>
      </c>
      <c r="N41" s="10">
        <f t="shared" si="12"/>
        <v>2217.6666666666679</v>
      </c>
      <c r="P41" s="10">
        <v>640.90586932351721</v>
      </c>
      <c r="Q41" s="10">
        <v>1378.853146640352</v>
      </c>
      <c r="R41" s="10">
        <v>1863.4688084322743</v>
      </c>
      <c r="S41" s="10">
        <v>843.69978862942241</v>
      </c>
      <c r="T41" s="10">
        <v>725.65763277181895</v>
      </c>
    </row>
    <row r="42" spans="1:20">
      <c r="B42" s="10">
        <v>20</v>
      </c>
      <c r="C42" s="10">
        <v>-858</v>
      </c>
      <c r="D42" s="10">
        <v>-128</v>
      </c>
      <c r="E42" s="10">
        <v>-1542.3333333333321</v>
      </c>
      <c r="F42" s="10">
        <v>-88.333333333332121</v>
      </c>
      <c r="G42" s="10">
        <v>-4934.3333333333321</v>
      </c>
      <c r="I42" s="10">
        <v>20</v>
      </c>
      <c r="J42" s="10">
        <f t="shared" si="13"/>
        <v>6464</v>
      </c>
      <c r="K42" s="10">
        <f t="shared" si="12"/>
        <v>7194</v>
      </c>
      <c r="L42" s="10">
        <f t="shared" si="12"/>
        <v>5779.6666666666679</v>
      </c>
      <c r="M42" s="10">
        <f t="shared" si="12"/>
        <v>7233.6666666666679</v>
      </c>
      <c r="N42" s="10">
        <f t="shared" si="12"/>
        <v>2387.6666666666679</v>
      </c>
      <c r="P42" s="10">
        <v>1109.89924467644</v>
      </c>
      <c r="Q42" s="10">
        <v>1690.1142959378026</v>
      </c>
      <c r="R42" s="10">
        <v>1767.5698006019452</v>
      </c>
      <c r="S42" s="10">
        <v>764.63782276316931</v>
      </c>
      <c r="T42" s="10">
        <v>647.40327462872779</v>
      </c>
    </row>
    <row r="43" spans="1:20">
      <c r="B43" s="10">
        <v>30</v>
      </c>
      <c r="C43" s="10">
        <f>O24/1.75</f>
        <v>984.95428571428477</v>
      </c>
      <c r="D43" s="10">
        <f t="shared" ref="D43:F43" si="14">P24/1.75</f>
        <v>1635.8114285714275</v>
      </c>
      <c r="E43" s="10">
        <f t="shared" si="14"/>
        <v>852.57333333333168</v>
      </c>
      <c r="F43" s="10">
        <f t="shared" si="14"/>
        <v>1144.7638095238092</v>
      </c>
      <c r="G43" s="10">
        <v>-4865.3300000000017</v>
      </c>
      <c r="I43" s="10">
        <v>30</v>
      </c>
      <c r="J43" s="10">
        <f t="shared" si="13"/>
        <v>8306.9542857142842</v>
      </c>
      <c r="K43" s="10">
        <f t="shared" si="12"/>
        <v>8957.8114285714273</v>
      </c>
      <c r="L43" s="10">
        <f t="shared" si="12"/>
        <v>8174.5733333333319</v>
      </c>
      <c r="M43" s="10">
        <f t="shared" si="12"/>
        <v>8466.763809523809</v>
      </c>
      <c r="N43" s="10">
        <f t="shared" si="12"/>
        <v>2456.6699999999983</v>
      </c>
      <c r="P43" s="10">
        <v>802.33679545022278</v>
      </c>
      <c r="Q43" s="10">
        <v>1825.1603582516614</v>
      </c>
      <c r="R43" s="10">
        <v>2007.7220923225407</v>
      </c>
      <c r="S43" s="10">
        <v>877.61627909544472</v>
      </c>
      <c r="T43" s="10">
        <v>754.35822613220921</v>
      </c>
    </row>
    <row r="44" spans="1:20">
      <c r="B44" s="10">
        <v>40</v>
      </c>
      <c r="C44" s="10">
        <f>O25/2</f>
        <v>2583.6683333333312</v>
      </c>
      <c r="D44" s="10">
        <f t="shared" ref="D44:F44" si="15">P25/2</f>
        <v>3364.001666666667</v>
      </c>
      <c r="E44" s="10">
        <f t="shared" si="15"/>
        <v>2798.001666666667</v>
      </c>
      <c r="F44" s="10">
        <f t="shared" si="15"/>
        <v>2043.501666666667</v>
      </c>
      <c r="G44" s="10">
        <v>-4697.9966666666696</v>
      </c>
      <c r="I44" s="10">
        <v>40</v>
      </c>
      <c r="J44" s="10">
        <f t="shared" si="13"/>
        <v>9905.6683333333312</v>
      </c>
      <c r="K44" s="10">
        <f t="shared" si="12"/>
        <v>10686.001666666667</v>
      </c>
      <c r="L44" s="10">
        <f t="shared" si="12"/>
        <v>10120.001666666667</v>
      </c>
      <c r="M44" s="10">
        <f t="shared" si="12"/>
        <v>9365.501666666667</v>
      </c>
      <c r="N44" s="10">
        <f t="shared" si="12"/>
        <v>2624.0033333333304</v>
      </c>
      <c r="P44" s="10">
        <v>1750.9312760166611</v>
      </c>
      <c r="Q44" s="10">
        <v>2539.9253926050665</v>
      </c>
      <c r="R44" s="10">
        <v>2254.6412131423481</v>
      </c>
      <c r="S44" s="10">
        <v>1071.7879143437535</v>
      </c>
      <c r="T44" s="10">
        <v>763.38522385490273</v>
      </c>
    </row>
    <row r="45" spans="1:20">
      <c r="B45" s="10">
        <v>50</v>
      </c>
      <c r="C45" s="10">
        <f>O26/2.25</f>
        <v>4110.5199999999995</v>
      </c>
      <c r="D45" s="10">
        <f t="shared" ref="D45:F45" si="16">P26/2.25</f>
        <v>5032.1496296296282</v>
      </c>
      <c r="E45" s="10">
        <f t="shared" si="16"/>
        <v>4500.0014814814822</v>
      </c>
      <c r="F45" s="10">
        <f t="shared" si="16"/>
        <v>2741.4829629629612</v>
      </c>
      <c r="G45" s="10">
        <v>-4619.6633333333339</v>
      </c>
      <c r="I45" s="10">
        <v>50</v>
      </c>
      <c r="J45" s="10">
        <f t="shared" si="13"/>
        <v>11432.52</v>
      </c>
      <c r="K45" s="10">
        <f t="shared" si="12"/>
        <v>12354.149629629628</v>
      </c>
      <c r="L45" s="10">
        <f t="shared" si="12"/>
        <v>11822.001481481482</v>
      </c>
      <c r="M45" s="10">
        <f t="shared" si="12"/>
        <v>10063.48296296296</v>
      </c>
      <c r="N45" s="10">
        <f t="shared" si="12"/>
        <v>2702.3366666666661</v>
      </c>
      <c r="P45" s="10">
        <v>1812.9073335391415</v>
      </c>
      <c r="Q45" s="10">
        <v>2833.2886074901244</v>
      </c>
      <c r="R45" s="10">
        <v>2489.8428330586121</v>
      </c>
      <c r="S45" s="10">
        <v>1245.6959233028472</v>
      </c>
      <c r="T45" s="10">
        <v>781.67597720112485</v>
      </c>
    </row>
    <row r="46" spans="1:20">
      <c r="B46" s="10">
        <v>60</v>
      </c>
      <c r="C46" s="10">
        <v>5256.3935541125556</v>
      </c>
      <c r="D46" s="10">
        <v>6383.7268874458878</v>
      </c>
      <c r="E46" s="10">
        <v>6004.6100043290044</v>
      </c>
      <c r="F46" s="10">
        <v>3242.1424718614721</v>
      </c>
      <c r="G46" s="10">
        <f>G27-3000</f>
        <v>-4489.0003333333325</v>
      </c>
      <c r="I46" s="10">
        <v>60</v>
      </c>
      <c r="J46" s="10">
        <f t="shared" si="13"/>
        <v>12578.393554112556</v>
      </c>
      <c r="K46" s="10">
        <f t="shared" si="12"/>
        <v>13705.726887445888</v>
      </c>
      <c r="L46" s="10">
        <f t="shared" si="12"/>
        <v>13326.610004329004</v>
      </c>
      <c r="M46" s="10">
        <f t="shared" si="12"/>
        <v>10564.142471861473</v>
      </c>
      <c r="N46" s="10">
        <f t="shared" si="12"/>
        <v>2832.9996666666675</v>
      </c>
      <c r="P46" s="10">
        <v>492.8552864009211</v>
      </c>
      <c r="Q46" s="10">
        <v>992.03175352404924</v>
      </c>
      <c r="R46" s="10">
        <v>983.2334412539069</v>
      </c>
      <c r="S46" s="10">
        <v>343.52486566962438</v>
      </c>
      <c r="T46" s="10">
        <v>394.98860743064478</v>
      </c>
    </row>
    <row r="47" spans="1:20">
      <c r="B47" s="10">
        <v>70</v>
      </c>
      <c r="C47" s="10">
        <v>6465.772320175437</v>
      </c>
      <c r="D47" s="10">
        <v>7847.2240745614035</v>
      </c>
      <c r="E47" s="10">
        <v>7566.5617938596479</v>
      </c>
      <c r="F47" s="10">
        <v>3765.7153026315782</v>
      </c>
      <c r="G47" s="10">
        <f t="shared" ref="G47:G55" si="17">G28-3000</f>
        <v>-4370.6663333333336</v>
      </c>
      <c r="I47" s="10">
        <v>70</v>
      </c>
      <c r="J47" s="10">
        <f t="shared" si="13"/>
        <v>13787.772320175438</v>
      </c>
      <c r="K47" s="10">
        <f t="shared" si="12"/>
        <v>15169.224074561404</v>
      </c>
      <c r="L47" s="10">
        <f t="shared" si="12"/>
        <v>14888.561793859648</v>
      </c>
      <c r="M47" s="10">
        <f t="shared" si="12"/>
        <v>11087.715302631579</v>
      </c>
      <c r="N47" s="10">
        <f t="shared" si="12"/>
        <v>2951.3336666666664</v>
      </c>
      <c r="P47" s="10">
        <v>602.5246882908616</v>
      </c>
      <c r="Q47" s="10">
        <v>1224.9393182249216</v>
      </c>
      <c r="R47" s="10">
        <v>1076.2532229916899</v>
      </c>
      <c r="S47" s="10">
        <v>689.75237102407516</v>
      </c>
      <c r="T47" s="10">
        <v>312.17463061562194</v>
      </c>
    </row>
    <row r="48" spans="1:20">
      <c r="B48" s="10">
        <v>80</v>
      </c>
      <c r="C48" s="10">
        <v>7362.8707155555567</v>
      </c>
      <c r="D48" s="10">
        <v>8887.3418266666667</v>
      </c>
      <c r="E48" s="10">
        <v>8795.572937777777</v>
      </c>
      <c r="F48" s="10">
        <v>4075.0129377777766</v>
      </c>
      <c r="G48" s="10">
        <f t="shared" si="17"/>
        <v>-4210.0003333333334</v>
      </c>
      <c r="I48" s="10">
        <v>80</v>
      </c>
      <c r="J48" s="10">
        <f t="shared" si="13"/>
        <v>14684.870715555557</v>
      </c>
      <c r="K48" s="10">
        <f t="shared" si="12"/>
        <v>16209.341826666667</v>
      </c>
      <c r="L48" s="10">
        <f t="shared" si="12"/>
        <v>16117.572937777777</v>
      </c>
      <c r="M48" s="10">
        <f t="shared" si="12"/>
        <v>11397.012937777778</v>
      </c>
      <c r="N48" s="10">
        <f t="shared" si="12"/>
        <v>3111.9996666666666</v>
      </c>
      <c r="P48" s="10">
        <v>588.65722906741928</v>
      </c>
      <c r="Q48" s="10">
        <v>1205.0868571739284</v>
      </c>
      <c r="R48" s="10">
        <v>966.67678155627596</v>
      </c>
      <c r="S48" s="10">
        <v>796.55696594782216</v>
      </c>
      <c r="T48" s="10">
        <v>231.89652865017192</v>
      </c>
    </row>
    <row r="49" spans="2:38">
      <c r="B49" s="10">
        <v>90</v>
      </c>
      <c r="C49" s="10">
        <v>8027.0684931506848</v>
      </c>
      <c r="D49" s="10">
        <v>9797.3150684931516</v>
      </c>
      <c r="E49" s="10">
        <v>9875.7488584474904</v>
      </c>
      <c r="F49" s="10">
        <v>4180.5616438356165</v>
      </c>
      <c r="G49" s="10">
        <f t="shared" si="17"/>
        <v>-4005.333333333333</v>
      </c>
      <c r="I49" s="10">
        <v>90</v>
      </c>
      <c r="J49" s="10">
        <f t="shared" si="13"/>
        <v>15349.068493150684</v>
      </c>
      <c r="K49" s="10">
        <f t="shared" si="12"/>
        <v>17119.315068493153</v>
      </c>
      <c r="L49" s="10">
        <f t="shared" si="12"/>
        <v>17197.748858447492</v>
      </c>
      <c r="M49" s="10">
        <f t="shared" si="12"/>
        <v>11502.561643835616</v>
      </c>
      <c r="N49" s="10">
        <f t="shared" si="12"/>
        <v>3316.666666666667</v>
      </c>
      <c r="P49" s="10">
        <v>396.71442289552988</v>
      </c>
      <c r="Q49" s="10">
        <v>1057.1666535288255</v>
      </c>
      <c r="R49" s="10">
        <v>947.97802365526161</v>
      </c>
      <c r="S49" s="10">
        <v>476.56304234941786</v>
      </c>
      <c r="T49" s="10">
        <v>436.83101233009256</v>
      </c>
    </row>
    <row r="50" spans="2:38">
      <c r="B50" s="10">
        <v>105</v>
      </c>
      <c r="C50" s="10">
        <v>9168.6485601851837</v>
      </c>
      <c r="D50" s="10">
        <v>11259.736523148147</v>
      </c>
      <c r="E50" s="10">
        <v>11370.574486111112</v>
      </c>
      <c r="F50" s="10">
        <v>4513.0420787037046</v>
      </c>
      <c r="G50" s="10">
        <f t="shared" si="17"/>
        <v>-3907.6663333333327</v>
      </c>
      <c r="I50" s="10">
        <v>105</v>
      </c>
      <c r="J50" s="10">
        <f t="shared" si="13"/>
        <v>16490.648560185182</v>
      </c>
      <c r="K50" s="10">
        <f t="shared" si="12"/>
        <v>18581.736523148145</v>
      </c>
      <c r="L50" s="10">
        <f t="shared" si="12"/>
        <v>18692.574486111112</v>
      </c>
      <c r="M50" s="10">
        <f t="shared" si="12"/>
        <v>11835.042078703704</v>
      </c>
      <c r="N50" s="10">
        <f t="shared" si="12"/>
        <v>3414.3336666666673</v>
      </c>
      <c r="P50" s="10">
        <v>476.41893329295806</v>
      </c>
      <c r="Q50" s="10">
        <v>1205.8923390308642</v>
      </c>
      <c r="R50" s="10">
        <v>992.05308997720897</v>
      </c>
      <c r="S50" s="10">
        <v>358.04655190817567</v>
      </c>
      <c r="T50" s="10">
        <v>164.09245361482451</v>
      </c>
    </row>
    <row r="51" spans="2:38">
      <c r="B51" s="10">
        <v>120</v>
      </c>
      <c r="C51" s="10">
        <v>9463.6662428571435</v>
      </c>
      <c r="D51" s="10">
        <v>11647.556719047619</v>
      </c>
      <c r="E51" s="10">
        <v>11951.851957142855</v>
      </c>
      <c r="F51" s="10">
        <v>4450.4233857142854</v>
      </c>
      <c r="G51" s="10">
        <f t="shared" si="17"/>
        <v>-3735.6670000000004</v>
      </c>
      <c r="I51" s="10">
        <v>120</v>
      </c>
      <c r="J51" s="10">
        <f t="shared" si="13"/>
        <v>16785.666242857144</v>
      </c>
      <c r="K51" s="10">
        <f t="shared" si="12"/>
        <v>18969.556719047621</v>
      </c>
      <c r="L51" s="10">
        <f t="shared" si="12"/>
        <v>19273.851957142855</v>
      </c>
      <c r="M51" s="10">
        <f t="shared" si="12"/>
        <v>11772.423385714286</v>
      </c>
      <c r="N51" s="10">
        <f t="shared" si="12"/>
        <v>3586.3329999999996</v>
      </c>
      <c r="P51" s="10">
        <v>749.54141535563826</v>
      </c>
      <c r="Q51" s="10">
        <v>1390.93110301457</v>
      </c>
      <c r="R51" s="10">
        <v>1202.381525695288</v>
      </c>
      <c r="S51" s="10">
        <v>287.77074208473664</v>
      </c>
      <c r="T51" s="10">
        <v>186.9768256585111</v>
      </c>
    </row>
    <row r="52" spans="2:38">
      <c r="B52" s="10">
        <v>135</v>
      </c>
      <c r="C52" s="10">
        <v>10257.357917874395</v>
      </c>
      <c r="D52" s="10">
        <v>12602.314439613525</v>
      </c>
      <c r="E52" s="10">
        <v>12991.420719806763</v>
      </c>
      <c r="F52" s="10">
        <v>4659.816855072464</v>
      </c>
      <c r="G52" s="10">
        <f t="shared" si="17"/>
        <v>-3637.9996666666666</v>
      </c>
      <c r="I52" s="10">
        <v>135</v>
      </c>
      <c r="J52" s="10">
        <f t="shared" si="13"/>
        <v>17579.357917874397</v>
      </c>
      <c r="K52" s="10">
        <f t="shared" si="12"/>
        <v>19924.314439613525</v>
      </c>
      <c r="L52" s="10">
        <f t="shared" si="12"/>
        <v>20313.420719806763</v>
      </c>
      <c r="M52" s="10">
        <f t="shared" si="12"/>
        <v>11981.816855072464</v>
      </c>
      <c r="N52" s="10">
        <f t="shared" si="12"/>
        <v>3684.0003333333334</v>
      </c>
      <c r="P52" s="10">
        <v>337.33810932060436</v>
      </c>
      <c r="Q52" s="10">
        <v>992.34016345202917</v>
      </c>
      <c r="R52" s="10">
        <v>874.61096113262454</v>
      </c>
      <c r="S52" s="10">
        <v>323.86571291200306</v>
      </c>
      <c r="T52" s="10">
        <v>128.93409169028959</v>
      </c>
    </row>
    <row r="53" spans="2:38">
      <c r="B53" s="10">
        <v>150</v>
      </c>
      <c r="C53" s="10">
        <v>11075.701416666665</v>
      </c>
      <c r="D53" s="10">
        <v>13733.049455882352</v>
      </c>
      <c r="E53" s="10">
        <v>14239.127887254901</v>
      </c>
      <c r="F53" s="10">
        <v>4874.9318088235295</v>
      </c>
      <c r="G53" s="10">
        <f t="shared" si="17"/>
        <v>-3568.6663333333336</v>
      </c>
      <c r="I53" s="10">
        <v>150</v>
      </c>
      <c r="J53" s="10">
        <f t="shared" si="13"/>
        <v>18397.701416666663</v>
      </c>
      <c r="K53" s="10">
        <f t="shared" si="12"/>
        <v>21055.049455882352</v>
      </c>
      <c r="L53" s="10">
        <f t="shared" si="12"/>
        <v>21561.127887254901</v>
      </c>
      <c r="M53" s="10">
        <f t="shared" si="12"/>
        <v>12196.93180882353</v>
      </c>
      <c r="N53" s="10">
        <f t="shared" si="12"/>
        <v>3753.3336666666664</v>
      </c>
      <c r="P53" s="10">
        <v>323.03714956642369</v>
      </c>
      <c r="Q53" s="10">
        <v>1070.0510891230069</v>
      </c>
      <c r="R53" s="10">
        <v>970.2226548581516</v>
      </c>
      <c r="S53" s="10">
        <v>311.39524723412205</v>
      </c>
      <c r="T53" s="10">
        <v>114.47416011193643</v>
      </c>
    </row>
    <row r="54" spans="2:38">
      <c r="B54" s="10">
        <v>165</v>
      </c>
      <c r="C54" s="10">
        <v>11410.154671641789</v>
      </c>
      <c r="D54" s="10">
        <v>14042.075069651741</v>
      </c>
      <c r="E54" s="10">
        <v>14553.050194029849</v>
      </c>
      <c r="F54" s="10">
        <v>4804.2292985074628</v>
      </c>
      <c r="G54" s="10">
        <f t="shared" si="17"/>
        <v>-3500.6663333333336</v>
      </c>
      <c r="I54" s="10">
        <v>165</v>
      </c>
      <c r="J54" s="10">
        <f t="shared" si="13"/>
        <v>18732.154671641787</v>
      </c>
      <c r="K54" s="10">
        <f t="shared" si="12"/>
        <v>21364.075069651743</v>
      </c>
      <c r="L54" s="10">
        <f t="shared" si="12"/>
        <v>21875.050194029849</v>
      </c>
      <c r="M54" s="10">
        <f t="shared" si="12"/>
        <v>12126.229298507464</v>
      </c>
      <c r="N54" s="10">
        <f t="shared" si="12"/>
        <v>3821.3336666666664</v>
      </c>
      <c r="P54" s="10">
        <v>302.14290217268604</v>
      </c>
      <c r="Q54" s="10">
        <v>960.11735393822221</v>
      </c>
      <c r="R54" s="10">
        <v>930.92928481884871</v>
      </c>
      <c r="S54" s="10">
        <v>360.60920675989405</v>
      </c>
      <c r="T54" s="10">
        <v>123.7914913608095</v>
      </c>
    </row>
    <row r="55" spans="2:38">
      <c r="B55" s="10">
        <v>180</v>
      </c>
      <c r="C55" s="10">
        <v>11846.438944444444</v>
      </c>
      <c r="D55" s="10">
        <v>14725.903590909093</v>
      </c>
      <c r="E55" s="10">
        <v>15354.297530303033</v>
      </c>
      <c r="F55" s="10">
        <v>4960.6258131313134</v>
      </c>
      <c r="G55" s="10">
        <f t="shared" si="17"/>
        <v>-3462.6669999999999</v>
      </c>
      <c r="I55" s="10">
        <v>180</v>
      </c>
      <c r="J55" s="10">
        <f t="shared" si="13"/>
        <v>19168.438944444446</v>
      </c>
      <c r="K55" s="10">
        <f t="shared" si="12"/>
        <v>22047.903590909093</v>
      </c>
      <c r="L55" s="10">
        <f t="shared" si="12"/>
        <v>22676.297530303033</v>
      </c>
      <c r="M55" s="10">
        <f t="shared" si="12"/>
        <v>12282.625813131313</v>
      </c>
      <c r="N55" s="10">
        <f t="shared" si="12"/>
        <v>3859.3330000000001</v>
      </c>
      <c r="P55" s="10">
        <v>254.5014734731412</v>
      </c>
      <c r="Q55" s="10">
        <v>1012.9591962825222</v>
      </c>
      <c r="R55" s="10">
        <v>961.54164409729719</v>
      </c>
      <c r="S55" s="10">
        <v>373.54294710693438</v>
      </c>
      <c r="T55" s="10">
        <v>145.55525869350572</v>
      </c>
    </row>
    <row r="57" spans="2:38">
      <c r="I57" s="10">
        <v>0</v>
      </c>
      <c r="J57" s="10">
        <v>22446</v>
      </c>
      <c r="K57" s="10">
        <v>22284</v>
      </c>
      <c r="L57" s="10">
        <v>21010</v>
      </c>
      <c r="M57" s="10">
        <v>23552</v>
      </c>
      <c r="N57" s="10">
        <v>21503</v>
      </c>
      <c r="O57" s="10">
        <v>10</v>
      </c>
      <c r="P57" s="10">
        <v>23075</v>
      </c>
      <c r="Q57" s="10">
        <v>23051</v>
      </c>
      <c r="R57" s="10">
        <v>21877</v>
      </c>
      <c r="S57" s="10">
        <v>24368</v>
      </c>
      <c r="T57" s="10">
        <v>21264</v>
      </c>
      <c r="U57" s="10">
        <v>20</v>
      </c>
      <c r="V57" s="10">
        <v>24660</v>
      </c>
      <c r="W57" s="10">
        <v>24493</v>
      </c>
      <c r="X57" s="10">
        <v>23305</v>
      </c>
      <c r="Y57" s="10">
        <v>25647</v>
      </c>
      <c r="Z57" s="10">
        <v>21210</v>
      </c>
      <c r="AA57" s="10">
        <v>30</v>
      </c>
      <c r="AB57" s="10">
        <v>26518</v>
      </c>
      <c r="AC57" s="10">
        <v>26522</v>
      </c>
      <c r="AD57" s="10">
        <v>25603</v>
      </c>
      <c r="AE57" s="10">
        <v>27121</v>
      </c>
      <c r="AF57" s="10">
        <v>20996</v>
      </c>
      <c r="AG57" s="10">
        <v>40</v>
      </c>
      <c r="AH57" s="10">
        <v>29039</v>
      </c>
      <c r="AI57" s="10">
        <v>29317</v>
      </c>
      <c r="AJ57" s="10">
        <v>28601</v>
      </c>
      <c r="AK57" s="10">
        <v>28651</v>
      </c>
      <c r="AL57" s="10">
        <v>20907</v>
      </c>
    </row>
    <row r="58" spans="2:38">
      <c r="J58" s="10">
        <v>23202</v>
      </c>
      <c r="K58" s="10">
        <v>25089</v>
      </c>
      <c r="L58" s="10">
        <v>24232</v>
      </c>
      <c r="M58" s="10">
        <v>24741</v>
      </c>
      <c r="N58" s="10">
        <v>22655</v>
      </c>
      <c r="P58" s="10">
        <v>24056</v>
      </c>
      <c r="Q58" s="10">
        <v>25789</v>
      </c>
      <c r="R58" s="10">
        <v>25251</v>
      </c>
      <c r="S58" s="10">
        <v>25864</v>
      </c>
      <c r="T58" s="10">
        <v>22592</v>
      </c>
      <c r="V58" s="10">
        <v>25605</v>
      </c>
      <c r="W58" s="10">
        <v>27498</v>
      </c>
      <c r="X58" s="10">
        <v>26837</v>
      </c>
      <c r="Y58" s="10">
        <v>27148</v>
      </c>
      <c r="Z58" s="10">
        <v>22381</v>
      </c>
      <c r="AB58" s="10">
        <v>27681</v>
      </c>
      <c r="AC58" s="10">
        <v>30048</v>
      </c>
      <c r="AD58" s="10">
        <v>29445</v>
      </c>
      <c r="AE58" s="10">
        <v>28872</v>
      </c>
      <c r="AF58" s="10">
        <v>22364</v>
      </c>
      <c r="AH58" s="10">
        <v>30359</v>
      </c>
      <c r="AI58" s="10">
        <v>33151</v>
      </c>
      <c r="AJ58" s="10">
        <v>33026</v>
      </c>
      <c r="AK58" s="10">
        <v>30529</v>
      </c>
      <c r="AL58" s="10">
        <v>22357</v>
      </c>
    </row>
    <row r="59" spans="2:38">
      <c r="J59" s="10">
        <v>30880</v>
      </c>
      <c r="K59" s="10">
        <v>31211</v>
      </c>
      <c r="L59" s="10">
        <v>28787</v>
      </c>
      <c r="M59" s="10">
        <v>30758</v>
      </c>
      <c r="N59" s="10">
        <v>29699</v>
      </c>
      <c r="P59" s="10">
        <v>32280</v>
      </c>
      <c r="Q59" s="10">
        <v>32705</v>
      </c>
      <c r="R59" s="10">
        <v>30193</v>
      </c>
      <c r="S59" s="10">
        <v>32440</v>
      </c>
      <c r="T59" s="10">
        <v>29421</v>
      </c>
      <c r="V59" s="10">
        <v>34872</v>
      </c>
      <c r="W59" s="10">
        <v>35336</v>
      </c>
      <c r="X59" s="10">
        <v>32942</v>
      </c>
      <c r="Y59" s="10">
        <v>34651</v>
      </c>
      <c r="Z59" s="10">
        <v>29317</v>
      </c>
      <c r="AB59" s="10">
        <v>38057</v>
      </c>
      <c r="AC59" s="10">
        <v>39103</v>
      </c>
      <c r="AD59" s="10">
        <v>36513</v>
      </c>
      <c r="AE59" s="10">
        <v>37102</v>
      </c>
      <c r="AF59" s="10">
        <v>29129</v>
      </c>
      <c r="AH59" s="10">
        <v>42508</v>
      </c>
      <c r="AI59" s="10">
        <v>44120</v>
      </c>
      <c r="AJ59" s="10">
        <v>41565</v>
      </c>
      <c r="AK59" s="10">
        <v>39485</v>
      </c>
      <c r="AL59" s="10">
        <v>29046</v>
      </c>
    </row>
    <row r="61" spans="2:38">
      <c r="I61" s="10">
        <v>50</v>
      </c>
      <c r="J61" s="10">
        <v>32198</v>
      </c>
      <c r="K61" s="10">
        <v>32707</v>
      </c>
      <c r="L61" s="10">
        <v>31997</v>
      </c>
      <c r="M61" s="10">
        <v>30042</v>
      </c>
      <c r="N61" s="10">
        <v>20757</v>
      </c>
      <c r="O61" s="10">
        <v>60</v>
      </c>
      <c r="P61" s="10">
        <v>11755</v>
      </c>
      <c r="Q61" s="10">
        <v>12103</v>
      </c>
      <c r="R61" s="10">
        <v>11892</v>
      </c>
      <c r="S61" s="10">
        <v>10538</v>
      </c>
      <c r="T61" s="10">
        <v>6814</v>
      </c>
      <c r="U61" s="10">
        <v>70</v>
      </c>
      <c r="V61" s="10">
        <v>11913</v>
      </c>
      <c r="W61" s="10">
        <v>12352</v>
      </c>
      <c r="X61" s="10">
        <v>12313</v>
      </c>
      <c r="Y61" s="10">
        <v>10158</v>
      </c>
      <c r="Z61" s="10">
        <v>6309</v>
      </c>
      <c r="AA61" s="10">
        <v>80</v>
      </c>
      <c r="AB61" s="10">
        <v>11595</v>
      </c>
      <c r="AC61" s="10">
        <v>12144</v>
      </c>
      <c r="AD61" s="10">
        <v>12341</v>
      </c>
      <c r="AE61" s="10">
        <v>9462</v>
      </c>
      <c r="AF61" s="10">
        <v>5551</v>
      </c>
      <c r="AG61" s="10">
        <v>90</v>
      </c>
      <c r="AH61" s="10">
        <v>10862</v>
      </c>
      <c r="AI61" s="10">
        <v>11558</v>
      </c>
      <c r="AJ61" s="10">
        <v>11773</v>
      </c>
      <c r="AK61" s="10">
        <v>8352</v>
      </c>
      <c r="AL61" s="10">
        <v>4654</v>
      </c>
    </row>
    <row r="62" spans="2:38">
      <c r="J62" s="10">
        <v>33573</v>
      </c>
      <c r="K62" s="10">
        <v>37040</v>
      </c>
      <c r="L62" s="10">
        <v>36869</v>
      </c>
      <c r="M62" s="10">
        <v>32212</v>
      </c>
      <c r="N62" s="10">
        <v>22199</v>
      </c>
      <c r="P62" s="10">
        <v>12320</v>
      </c>
      <c r="Q62" s="10">
        <v>13752</v>
      </c>
      <c r="R62" s="10">
        <v>13852</v>
      </c>
      <c r="S62" s="10">
        <v>11222</v>
      </c>
      <c r="T62" s="10">
        <v>7290</v>
      </c>
      <c r="V62" s="10">
        <v>12651</v>
      </c>
      <c r="W62" s="10">
        <v>14179</v>
      </c>
      <c r="X62" s="10">
        <v>14416</v>
      </c>
      <c r="Y62" s="10">
        <v>10983</v>
      </c>
      <c r="Z62" s="10">
        <v>6794</v>
      </c>
      <c r="AB62" s="10">
        <v>12307</v>
      </c>
      <c r="AC62" s="10">
        <v>13942</v>
      </c>
      <c r="AD62" s="10">
        <v>14189</v>
      </c>
      <c r="AE62" s="10">
        <v>10242</v>
      </c>
      <c r="AF62" s="10">
        <v>6003</v>
      </c>
      <c r="AH62" s="10">
        <v>11485</v>
      </c>
      <c r="AI62" s="10">
        <v>13228</v>
      </c>
      <c r="AJ62" s="10">
        <v>13602</v>
      </c>
      <c r="AK62" s="10">
        <v>9025</v>
      </c>
      <c r="AL62" s="10">
        <v>5002</v>
      </c>
    </row>
    <row r="63" spans="2:38">
      <c r="J63" s="10">
        <v>47791</v>
      </c>
      <c r="K63" s="10">
        <v>50036</v>
      </c>
      <c r="L63" s="10">
        <v>47325</v>
      </c>
      <c r="M63" s="10">
        <v>42067</v>
      </c>
      <c r="N63" s="10">
        <v>29001</v>
      </c>
      <c r="P63" s="10">
        <v>17737</v>
      </c>
      <c r="Q63" s="10">
        <v>18883</v>
      </c>
      <c r="R63" s="10">
        <v>18010</v>
      </c>
      <c r="S63" s="10">
        <v>14824</v>
      </c>
      <c r="T63" s="10">
        <v>9598</v>
      </c>
      <c r="V63" s="10">
        <v>18107</v>
      </c>
      <c r="W63" s="10">
        <v>19679</v>
      </c>
      <c r="X63" s="10">
        <v>18762</v>
      </c>
      <c r="Y63" s="10">
        <v>14613</v>
      </c>
      <c r="Z63" s="10">
        <v>8892</v>
      </c>
      <c r="AB63" s="10">
        <v>17763</v>
      </c>
      <c r="AC63" s="10">
        <v>19433</v>
      </c>
      <c r="AD63" s="10">
        <v>18757</v>
      </c>
      <c r="AE63" s="10">
        <v>13649</v>
      </c>
      <c r="AF63" s="10">
        <v>7867</v>
      </c>
      <c r="AH63" s="10">
        <v>16599</v>
      </c>
      <c r="AI63" s="10">
        <v>18516</v>
      </c>
      <c r="AJ63" s="10">
        <v>18120</v>
      </c>
      <c r="AK63" s="10">
        <v>12104</v>
      </c>
      <c r="AL63" s="10">
        <v>6522</v>
      </c>
    </row>
    <row r="65" spans="9:38">
      <c r="I65" s="10">
        <v>105</v>
      </c>
      <c r="J65" s="10">
        <v>10971</v>
      </c>
      <c r="K65" s="10">
        <v>11829</v>
      </c>
      <c r="L65" s="10">
        <v>12128</v>
      </c>
      <c r="M65" s="10">
        <v>7973</v>
      </c>
      <c r="N65" s="10">
        <v>4152</v>
      </c>
      <c r="O65" s="10">
        <v>120</v>
      </c>
      <c r="P65" s="10">
        <v>10054</v>
      </c>
      <c r="Q65" s="10">
        <v>11013</v>
      </c>
      <c r="R65" s="10">
        <v>11347</v>
      </c>
      <c r="S65" s="10">
        <v>6871</v>
      </c>
      <c r="T65" s="10">
        <v>3355</v>
      </c>
      <c r="U65" s="10">
        <v>135</v>
      </c>
      <c r="V65" s="10">
        <v>9945</v>
      </c>
      <c r="W65" s="10">
        <v>11014</v>
      </c>
      <c r="X65" s="10">
        <v>11468</v>
      </c>
      <c r="Y65" s="10">
        <v>6408</v>
      </c>
      <c r="Z65" s="10">
        <v>2929</v>
      </c>
      <c r="AA65" s="10">
        <v>150</v>
      </c>
      <c r="AB65" s="10">
        <v>10032</v>
      </c>
      <c r="AC65" s="10">
        <v>11216</v>
      </c>
      <c r="AD65" s="10">
        <v>11710</v>
      </c>
      <c r="AE65" s="10">
        <v>6137</v>
      </c>
      <c r="AF65" s="10">
        <v>2609</v>
      </c>
      <c r="AG65" s="10">
        <v>165</v>
      </c>
      <c r="AH65" s="10">
        <v>9786</v>
      </c>
      <c r="AI65" s="10">
        <v>11018</v>
      </c>
      <c r="AJ65" s="10">
        <v>11448</v>
      </c>
      <c r="AK65" s="10">
        <v>5718</v>
      </c>
      <c r="AL65" s="10">
        <v>2320</v>
      </c>
    </row>
    <row r="66" spans="9:38">
      <c r="J66" s="10">
        <v>11576</v>
      </c>
      <c r="K66" s="10">
        <v>13552</v>
      </c>
      <c r="L66" s="10">
        <v>13940</v>
      </c>
      <c r="M66" s="10">
        <v>8601</v>
      </c>
      <c r="N66" s="10">
        <v>4477</v>
      </c>
      <c r="P66" s="10">
        <v>10633</v>
      </c>
      <c r="Q66" s="10">
        <v>12581</v>
      </c>
      <c r="R66" s="10">
        <v>13105</v>
      </c>
      <c r="S66" s="10">
        <v>7441</v>
      </c>
      <c r="T66" s="10">
        <v>3620</v>
      </c>
      <c r="V66" s="10">
        <v>10511</v>
      </c>
      <c r="W66" s="10">
        <v>12605</v>
      </c>
      <c r="X66" s="10">
        <v>13137</v>
      </c>
      <c r="Y66" s="10">
        <v>7026</v>
      </c>
      <c r="Z66" s="10">
        <v>3165</v>
      </c>
      <c r="AB66" s="10">
        <v>10594</v>
      </c>
      <c r="AC66" s="10">
        <v>12872</v>
      </c>
      <c r="AD66" s="10">
        <v>13496</v>
      </c>
      <c r="AE66" s="10">
        <v>6693</v>
      </c>
      <c r="AF66" s="10">
        <v>2833</v>
      </c>
      <c r="AH66" s="10">
        <v>10347</v>
      </c>
      <c r="AI66" s="10">
        <v>12508</v>
      </c>
      <c r="AJ66" s="10">
        <v>13224</v>
      </c>
      <c r="AK66" s="10">
        <v>6227</v>
      </c>
      <c r="AL66" s="10">
        <v>2516</v>
      </c>
    </row>
    <row r="67" spans="9:38">
      <c r="J67" s="10">
        <v>16911</v>
      </c>
      <c r="K67" s="10">
        <v>19152</v>
      </c>
      <c r="L67" s="10">
        <v>18734</v>
      </c>
      <c r="M67" s="10">
        <v>11585</v>
      </c>
      <c r="N67" s="10">
        <v>5854</v>
      </c>
      <c r="P67" s="10">
        <v>15541</v>
      </c>
      <c r="Q67" s="10">
        <v>17787</v>
      </c>
      <c r="R67" s="10">
        <v>17647</v>
      </c>
      <c r="S67" s="10">
        <v>10087</v>
      </c>
      <c r="T67" s="10">
        <v>4716</v>
      </c>
      <c r="V67" s="10">
        <v>15546</v>
      </c>
      <c r="W67" s="10">
        <v>17837</v>
      </c>
      <c r="X67" s="10">
        <v>17756</v>
      </c>
      <c r="Y67" s="10">
        <v>9549</v>
      </c>
      <c r="Z67" s="10">
        <v>4137</v>
      </c>
      <c r="AB67" s="10">
        <v>15589</v>
      </c>
      <c r="AC67" s="10">
        <v>18218</v>
      </c>
      <c r="AD67" s="10">
        <v>18260</v>
      </c>
      <c r="AE67" s="10">
        <v>9172</v>
      </c>
      <c r="AF67" s="10">
        <v>3680</v>
      </c>
      <c r="AH67" s="10">
        <v>15261</v>
      </c>
      <c r="AI67" s="10">
        <v>17812</v>
      </c>
      <c r="AJ67" s="10">
        <v>17820</v>
      </c>
      <c r="AK67" s="10">
        <v>8530</v>
      </c>
      <c r="AL67" s="10">
        <v>3287</v>
      </c>
    </row>
    <row r="69" spans="9:38">
      <c r="I69" s="10">
        <v>180</v>
      </c>
      <c r="J69" s="10">
        <v>9749</v>
      </c>
      <c r="K69" s="10">
        <v>11019</v>
      </c>
      <c r="L69" s="10">
        <v>11551</v>
      </c>
      <c r="M69" s="10">
        <v>5506</v>
      </c>
      <c r="N69" s="10">
        <v>2111</v>
      </c>
    </row>
    <row r="70" spans="9:38">
      <c r="J70" s="10">
        <v>10221</v>
      </c>
      <c r="K70" s="10">
        <v>12601</v>
      </c>
      <c r="L70" s="10">
        <v>13368</v>
      </c>
      <c r="M70" s="10">
        <v>6012</v>
      </c>
      <c r="N70" s="10">
        <v>2278</v>
      </c>
    </row>
    <row r="71" spans="9:38">
      <c r="J71" s="10">
        <v>15150</v>
      </c>
      <c r="K71" s="10">
        <v>17906</v>
      </c>
      <c r="L71" s="10">
        <v>18005</v>
      </c>
      <c r="M71" s="10">
        <v>8283</v>
      </c>
      <c r="N71" s="10">
        <v>2988</v>
      </c>
    </row>
  </sheetData>
  <mergeCells count="4">
    <mergeCell ref="C19:G19"/>
    <mergeCell ref="B1:F1"/>
    <mergeCell ref="H1:L1"/>
    <mergeCell ref="N1:R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1E48-24D3-F143-B093-F3FFB29FFDB1}">
  <sheetPr>
    <outlinePr summaryBelow="0" summaryRight="0"/>
  </sheetPr>
  <dimension ref="A1:N988"/>
  <sheetViews>
    <sheetView zoomScaleNormal="100" workbookViewId="0">
      <selection activeCell="P51" sqref="P51"/>
    </sheetView>
  </sheetViews>
  <sheetFormatPr baseColWidth="10" defaultColWidth="12.6640625" defaultRowHeight="15.75" customHeight="1"/>
  <cols>
    <col min="1" max="1" width="12.6640625" style="45"/>
    <col min="2" max="2" width="17.5" style="45" customWidth="1"/>
    <col min="3" max="3" width="8.5" style="45" customWidth="1"/>
    <col min="4" max="5" width="10.1640625" style="45" customWidth="1"/>
    <col min="6" max="6" width="9" style="45" customWidth="1"/>
    <col min="7" max="10" width="10.1640625" style="45" customWidth="1"/>
    <col min="11" max="11" width="9.1640625" style="45" customWidth="1"/>
    <col min="12" max="13" width="9.83203125" style="45" customWidth="1"/>
    <col min="14" max="14" width="9.1640625" style="45" customWidth="1"/>
    <col min="15" max="15" width="10.5" style="45" customWidth="1"/>
    <col min="16" max="16" width="13.6640625" style="45" customWidth="1"/>
    <col min="17" max="16384" width="12.6640625" style="45"/>
  </cols>
  <sheetData>
    <row r="1" spans="1:14" ht="15.75" customHeight="1">
      <c r="K1" s="46" t="s">
        <v>133</v>
      </c>
      <c r="L1" s="46" t="s">
        <v>134</v>
      </c>
      <c r="M1" s="46" t="s">
        <v>135</v>
      </c>
      <c r="N1" s="46" t="s">
        <v>136</v>
      </c>
    </row>
    <row r="2" spans="1:14" ht="15.75" customHeight="1">
      <c r="C2" s="47" t="s">
        <v>137</v>
      </c>
      <c r="G2" s="47" t="s">
        <v>138</v>
      </c>
      <c r="K2" s="46" t="s">
        <v>139</v>
      </c>
      <c r="L2" s="46" t="s">
        <v>139</v>
      </c>
      <c r="M2" s="46" t="s">
        <v>112</v>
      </c>
      <c r="N2" s="46" t="s">
        <v>112</v>
      </c>
    </row>
    <row r="3" spans="1:14" ht="15.75" customHeight="1">
      <c r="A3" s="47" t="s">
        <v>146</v>
      </c>
      <c r="B3" s="47" t="s">
        <v>140</v>
      </c>
      <c r="C3" s="48">
        <v>8.08</v>
      </c>
      <c r="D3" s="48">
        <v>5.95</v>
      </c>
      <c r="E3" s="48">
        <v>6.49</v>
      </c>
      <c r="F3" s="48">
        <v>7.56</v>
      </c>
      <c r="G3" s="48">
        <v>53.3</v>
      </c>
      <c r="H3" s="48">
        <v>80</v>
      </c>
      <c r="I3" s="48">
        <v>54.6</v>
      </c>
      <c r="J3" s="49">
        <v>20.7</v>
      </c>
      <c r="K3" s="50"/>
      <c r="L3" s="50"/>
      <c r="M3" s="50"/>
      <c r="N3" s="50"/>
    </row>
    <row r="4" spans="1:14" ht="15.75" customHeight="1">
      <c r="B4" s="47" t="s">
        <v>141</v>
      </c>
      <c r="C4" s="48">
        <v>7.19</v>
      </c>
      <c r="D4" s="48">
        <v>5.95</v>
      </c>
      <c r="E4" s="48">
        <v>6.45</v>
      </c>
      <c r="F4" s="48">
        <v>7.02</v>
      </c>
      <c r="G4" s="48">
        <v>31.8</v>
      </c>
      <c r="H4" s="48">
        <v>39.9</v>
      </c>
      <c r="I4" s="48">
        <v>32.4</v>
      </c>
      <c r="J4" s="49">
        <v>11.7</v>
      </c>
      <c r="K4" s="50"/>
      <c r="L4" s="50"/>
      <c r="M4" s="50"/>
      <c r="N4" s="50"/>
    </row>
    <row r="5" spans="1:14" ht="15.75" customHeight="1">
      <c r="B5" s="47" t="s">
        <v>142</v>
      </c>
      <c r="C5" s="48">
        <v>6.21</v>
      </c>
      <c r="D5" s="48">
        <v>5.95</v>
      </c>
      <c r="E5" s="48">
        <v>6.21</v>
      </c>
      <c r="F5" s="48">
        <v>6.17</v>
      </c>
      <c r="G5" s="48">
        <v>29.6</v>
      </c>
      <c r="H5" s="48">
        <v>37.5</v>
      </c>
      <c r="I5" s="48">
        <v>30.6</v>
      </c>
      <c r="J5" s="49">
        <v>8.41</v>
      </c>
      <c r="K5" s="50">
        <f>AVERAGE(C5:F5)</f>
        <v>6.1349999999999998</v>
      </c>
      <c r="L5" s="50">
        <f>AVERAGE(G5:I5)</f>
        <v>32.566666666666663</v>
      </c>
      <c r="M5" s="50">
        <f>STDEV(C5:E5)</f>
        <v>0.15011106998930257</v>
      </c>
      <c r="N5" s="50">
        <f>STDEV(G5:I5)</f>
        <v>4.3015501081974836</v>
      </c>
    </row>
    <row r="6" spans="1:14" ht="15.75" customHeight="1">
      <c r="B6" s="47" t="s">
        <v>143</v>
      </c>
      <c r="C6" s="48">
        <v>16</v>
      </c>
      <c r="D6" s="48">
        <v>1</v>
      </c>
      <c r="E6" s="48">
        <v>9</v>
      </c>
      <c r="F6" s="48">
        <v>12</v>
      </c>
      <c r="G6" s="48">
        <v>17759</v>
      </c>
      <c r="H6" s="48">
        <v>19715</v>
      </c>
      <c r="I6" s="48">
        <v>12859</v>
      </c>
      <c r="J6" s="49">
        <v>896</v>
      </c>
      <c r="K6" s="50"/>
      <c r="L6" s="50"/>
      <c r="M6" s="50"/>
      <c r="N6" s="50"/>
    </row>
    <row r="7" spans="1:14" ht="15.75" customHeight="1">
      <c r="A7" s="47"/>
      <c r="B7" s="47" t="s">
        <v>144</v>
      </c>
      <c r="C7" s="48">
        <f t="shared" ref="C7:J7" si="0">C3*C6</f>
        <v>129.28</v>
      </c>
      <c r="D7" s="48">
        <f t="shared" si="0"/>
        <v>5.95</v>
      </c>
      <c r="E7" s="48">
        <f t="shared" si="0"/>
        <v>58.410000000000004</v>
      </c>
      <c r="F7" s="48">
        <f t="shared" si="0"/>
        <v>90.72</v>
      </c>
      <c r="G7" s="48">
        <f t="shared" si="0"/>
        <v>946554.7</v>
      </c>
      <c r="H7" s="48">
        <f t="shared" si="0"/>
        <v>1577200</v>
      </c>
      <c r="I7" s="48">
        <f t="shared" si="0"/>
        <v>702101.4</v>
      </c>
      <c r="J7" s="49">
        <f t="shared" si="0"/>
        <v>18547.2</v>
      </c>
      <c r="K7" s="50">
        <f t="shared" ref="K7:K8" si="1">AVERAGE(C7:F7)</f>
        <v>71.09</v>
      </c>
      <c r="L7" s="50">
        <f t="shared" ref="L7:L8" si="2">AVERAGE(G7:I7)</f>
        <v>1075285.3666666667</v>
      </c>
      <c r="M7" s="50">
        <f t="shared" ref="M7:M8" si="3">STDEV(C7:F7)</f>
        <v>52.202857520765399</v>
      </c>
      <c r="N7" s="50">
        <f t="shared" ref="N7:N8" si="4">STDEV(G7:I7)</f>
        <v>451528.60190227482</v>
      </c>
    </row>
    <row r="8" spans="1:14" ht="15.75" customHeight="1">
      <c r="A8" s="47"/>
      <c r="B8" s="47" t="s">
        <v>145</v>
      </c>
      <c r="C8" s="47">
        <f t="shared" ref="C8:J8" si="5">C4*C6</f>
        <v>115.04</v>
      </c>
      <c r="D8" s="47">
        <f t="shared" si="5"/>
        <v>5.95</v>
      </c>
      <c r="E8" s="47">
        <f t="shared" si="5"/>
        <v>58.050000000000004</v>
      </c>
      <c r="F8" s="47">
        <f t="shared" si="5"/>
        <v>84.24</v>
      </c>
      <c r="G8" s="47">
        <f t="shared" si="5"/>
        <v>564736.20000000007</v>
      </c>
      <c r="H8" s="47">
        <f t="shared" si="5"/>
        <v>786628.5</v>
      </c>
      <c r="I8" s="47">
        <f t="shared" si="5"/>
        <v>416631.6</v>
      </c>
      <c r="J8" s="51">
        <f t="shared" si="5"/>
        <v>10483.199999999999</v>
      </c>
      <c r="K8" s="46">
        <f t="shared" si="1"/>
        <v>65.820000000000007</v>
      </c>
      <c r="L8" s="46">
        <f t="shared" si="2"/>
        <v>589332.10000000009</v>
      </c>
      <c r="M8" s="46">
        <f t="shared" si="3"/>
        <v>46.212172278163536</v>
      </c>
      <c r="N8" s="46">
        <f t="shared" si="4"/>
        <v>186220.68957290924</v>
      </c>
    </row>
    <row r="9" spans="1:14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6"/>
      <c r="L9" s="46">
        <f>L8-K8</f>
        <v>589266.28000000014</v>
      </c>
      <c r="M9" s="46"/>
      <c r="N9" s="46">
        <f>N8-M8</f>
        <v>186174.47740063106</v>
      </c>
    </row>
    <row r="10" spans="1:14" ht="15.75" customHeight="1">
      <c r="A10" s="47" t="s">
        <v>147</v>
      </c>
      <c r="B10" s="47" t="s">
        <v>140</v>
      </c>
      <c r="C10" s="47">
        <v>50.7</v>
      </c>
      <c r="D10" s="47">
        <v>5.64</v>
      </c>
      <c r="E10" s="47">
        <v>8.27</v>
      </c>
      <c r="F10" s="47">
        <v>95.3</v>
      </c>
      <c r="G10" s="47">
        <v>19.2</v>
      </c>
      <c r="H10" s="47">
        <v>22.5</v>
      </c>
      <c r="I10" s="47">
        <v>18.100000000000001</v>
      </c>
      <c r="J10" s="47">
        <v>19.7</v>
      </c>
      <c r="K10" s="46"/>
      <c r="L10" s="46"/>
      <c r="M10" s="46"/>
      <c r="N10" s="46"/>
    </row>
    <row r="11" spans="1:14" ht="15.75" customHeight="1">
      <c r="A11" s="47"/>
      <c r="B11" s="47" t="s">
        <v>141</v>
      </c>
      <c r="C11" s="47">
        <v>18.3</v>
      </c>
      <c r="D11" s="47">
        <v>5.33</v>
      </c>
      <c r="E11" s="47">
        <v>6.35</v>
      </c>
      <c r="F11" s="47">
        <v>44.9</v>
      </c>
      <c r="G11" s="47">
        <v>11.8</v>
      </c>
      <c r="H11" s="47">
        <v>12.9</v>
      </c>
      <c r="I11" s="47">
        <v>11.3</v>
      </c>
      <c r="J11" s="47">
        <v>11.9</v>
      </c>
      <c r="K11" s="46"/>
      <c r="L11" s="46"/>
      <c r="M11" s="46"/>
      <c r="N11" s="46"/>
    </row>
    <row r="12" spans="1:14" ht="15.75" customHeight="1">
      <c r="A12" s="47"/>
      <c r="B12" s="47" t="s">
        <v>142</v>
      </c>
      <c r="C12" s="47">
        <v>11.2</v>
      </c>
      <c r="D12" s="47">
        <v>5.13</v>
      </c>
      <c r="E12" s="47">
        <v>4.79</v>
      </c>
      <c r="F12" s="47">
        <v>59.2</v>
      </c>
      <c r="G12" s="47">
        <v>9.3800000000000008</v>
      </c>
      <c r="H12" s="47">
        <v>10</v>
      </c>
      <c r="I12" s="47">
        <v>8.75</v>
      </c>
      <c r="J12" s="47">
        <v>9.31</v>
      </c>
      <c r="K12" s="46">
        <f>AVERAGE(C12:E12)</f>
        <v>7.0399999999999991</v>
      </c>
      <c r="L12" s="46">
        <f>AVERAGE(G12:J12)</f>
        <v>9.3600000000000012</v>
      </c>
      <c r="M12" s="46">
        <f>STDEV(C12:E12)</f>
        <v>3.6066743684452578</v>
      </c>
      <c r="N12" s="46">
        <f>STDEV(G12:J12)</f>
        <v>0.51140329812520113</v>
      </c>
    </row>
    <row r="13" spans="1:14" ht="15.75" customHeight="1">
      <c r="A13" s="47"/>
      <c r="B13" s="47" t="s">
        <v>143</v>
      </c>
      <c r="C13" s="47">
        <v>33</v>
      </c>
      <c r="D13" s="47">
        <v>30</v>
      </c>
      <c r="E13" s="47">
        <v>17</v>
      </c>
      <c r="F13" s="47">
        <v>7</v>
      </c>
      <c r="G13" s="47">
        <v>7410</v>
      </c>
      <c r="H13" s="47">
        <v>9396</v>
      </c>
      <c r="I13" s="47">
        <v>5715</v>
      </c>
      <c r="J13" s="47">
        <v>7168</v>
      </c>
      <c r="K13" s="46"/>
      <c r="L13" s="46"/>
      <c r="M13" s="46"/>
      <c r="N13" s="46"/>
    </row>
    <row r="14" spans="1:14" ht="15.75" customHeight="1">
      <c r="A14" s="47"/>
      <c r="B14" s="47" t="s">
        <v>144</v>
      </c>
      <c r="C14" s="47">
        <f t="shared" ref="C14:J14" si="6">C10*C13</f>
        <v>1673.1000000000001</v>
      </c>
      <c r="D14" s="47">
        <f t="shared" si="6"/>
        <v>169.2</v>
      </c>
      <c r="E14" s="47">
        <f t="shared" si="6"/>
        <v>140.59</v>
      </c>
      <c r="F14" s="47">
        <f t="shared" si="6"/>
        <v>667.1</v>
      </c>
      <c r="G14" s="47">
        <f t="shared" si="6"/>
        <v>142272</v>
      </c>
      <c r="H14" s="47">
        <f t="shared" si="6"/>
        <v>211410</v>
      </c>
      <c r="I14" s="47">
        <f t="shared" si="6"/>
        <v>103441.50000000001</v>
      </c>
      <c r="J14" s="47">
        <f t="shared" si="6"/>
        <v>141209.60000000001</v>
      </c>
      <c r="K14" s="46">
        <f t="shared" ref="K14:K15" si="7">AVERAGE(C14:F14)</f>
        <v>662.49750000000006</v>
      </c>
      <c r="L14" s="46">
        <f t="shared" ref="L14:L15" si="8">AVERAGE(G14:J14)</f>
        <v>149583.27499999999</v>
      </c>
      <c r="M14" s="46">
        <f t="shared" ref="M14:M15" si="9">STDEV(C14:F14)</f>
        <v>715.79057879498987</v>
      </c>
      <c r="N14" s="46">
        <f t="shared" ref="N14:N15" si="10">STDEV(G14:J14)</f>
        <v>45000.668511728829</v>
      </c>
    </row>
    <row r="15" spans="1:14" ht="15.75" customHeight="1">
      <c r="A15" s="47"/>
      <c r="B15" s="47" t="s">
        <v>145</v>
      </c>
      <c r="C15" s="47">
        <f t="shared" ref="C15:J15" si="11">C11*C13</f>
        <v>603.9</v>
      </c>
      <c r="D15" s="47">
        <f t="shared" si="11"/>
        <v>159.9</v>
      </c>
      <c r="E15" s="47">
        <f t="shared" si="11"/>
        <v>107.94999999999999</v>
      </c>
      <c r="F15" s="47">
        <f t="shared" si="11"/>
        <v>314.3</v>
      </c>
      <c r="G15" s="47">
        <f t="shared" si="11"/>
        <v>87438</v>
      </c>
      <c r="H15" s="47">
        <f t="shared" si="11"/>
        <v>121208.40000000001</v>
      </c>
      <c r="I15" s="47">
        <f t="shared" si="11"/>
        <v>64579.500000000007</v>
      </c>
      <c r="J15" s="47">
        <f t="shared" si="11"/>
        <v>85299.199999999997</v>
      </c>
      <c r="K15" s="46">
        <f t="shared" si="7"/>
        <v>296.51249999999999</v>
      </c>
      <c r="L15" s="46">
        <f t="shared" si="8"/>
        <v>89631.275000000009</v>
      </c>
      <c r="M15" s="46">
        <f t="shared" si="9"/>
        <v>222.87684332758008</v>
      </c>
      <c r="N15" s="46">
        <f t="shared" si="10"/>
        <v>23439.87758036501</v>
      </c>
    </row>
    <row r="16" spans="1:14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6"/>
      <c r="L16" s="46">
        <f>L15-K15</f>
        <v>89334.762500000012</v>
      </c>
      <c r="M16" s="46"/>
      <c r="N16" s="46">
        <f>N15-M15</f>
        <v>23217.00073703743</v>
      </c>
    </row>
    <row r="17" spans="1:14" ht="15.75" customHeight="1">
      <c r="A17" s="47" t="s">
        <v>148</v>
      </c>
      <c r="B17" s="47" t="s">
        <v>140</v>
      </c>
      <c r="C17" s="47">
        <v>22.6</v>
      </c>
      <c r="D17" s="47">
        <v>24.7</v>
      </c>
      <c r="E17" s="47">
        <v>7.94</v>
      </c>
      <c r="F17" s="47">
        <v>6.26</v>
      </c>
      <c r="G17" s="47">
        <v>62</v>
      </c>
      <c r="H17" s="47">
        <v>80.400000000000006</v>
      </c>
      <c r="I17" s="47">
        <v>68.900000000000006</v>
      </c>
      <c r="J17" s="47">
        <v>62.6</v>
      </c>
      <c r="K17" s="46"/>
      <c r="L17" s="46"/>
      <c r="M17" s="46"/>
      <c r="N17" s="46"/>
    </row>
    <row r="18" spans="1:14" ht="15.75" customHeight="1">
      <c r="B18" s="47" t="s">
        <v>141</v>
      </c>
      <c r="C18" s="47">
        <v>8.51</v>
      </c>
      <c r="D18" s="47">
        <v>7.59</v>
      </c>
      <c r="E18" s="47">
        <v>7.28</v>
      </c>
      <c r="F18" s="47">
        <v>6.26</v>
      </c>
      <c r="G18" s="47">
        <v>33.4</v>
      </c>
      <c r="H18" s="47">
        <v>40.799999999999997</v>
      </c>
      <c r="I18" s="47">
        <v>36</v>
      </c>
      <c r="J18" s="47">
        <v>34.6</v>
      </c>
      <c r="K18" s="46"/>
      <c r="L18" s="46"/>
      <c r="M18" s="46"/>
      <c r="N18" s="46"/>
    </row>
    <row r="19" spans="1:14" ht="15.75" customHeight="1">
      <c r="B19" s="47" t="s">
        <v>142</v>
      </c>
      <c r="C19" s="47">
        <v>6.16</v>
      </c>
      <c r="D19" s="47">
        <v>5.67</v>
      </c>
      <c r="E19" s="47">
        <v>5.94</v>
      </c>
      <c r="F19" s="47">
        <v>6.26</v>
      </c>
      <c r="G19" s="47">
        <v>32</v>
      </c>
      <c r="H19" s="47">
        <v>39.4</v>
      </c>
      <c r="I19" s="47">
        <v>34.799999999999997</v>
      </c>
      <c r="J19" s="47">
        <v>32.9</v>
      </c>
      <c r="K19" s="46">
        <f>AVERAGE(C19:F19)</f>
        <v>6.0075000000000003</v>
      </c>
      <c r="L19" s="46">
        <f>AVERAGE(H19:J19)</f>
        <v>35.699999999999996</v>
      </c>
      <c r="M19" s="46">
        <f>STDEV(C19:F19)</f>
        <v>0.26170912606683516</v>
      </c>
      <c r="N19" s="46">
        <f>STDEV(H19:J19)</f>
        <v>3.3421549934136809</v>
      </c>
    </row>
    <row r="20" spans="1:14" ht="15.75" customHeight="1">
      <c r="B20" s="47" t="s">
        <v>143</v>
      </c>
      <c r="C20" s="47">
        <v>14</v>
      </c>
      <c r="D20" s="47">
        <v>20</v>
      </c>
      <c r="E20" s="47">
        <v>10</v>
      </c>
      <c r="F20" s="47">
        <v>1</v>
      </c>
      <c r="G20" s="47">
        <v>17960</v>
      </c>
      <c r="H20" s="47">
        <v>21723</v>
      </c>
      <c r="I20" s="47">
        <v>20340</v>
      </c>
      <c r="J20" s="47">
        <v>20018</v>
      </c>
      <c r="K20" s="46"/>
      <c r="L20" s="46"/>
      <c r="M20" s="46"/>
      <c r="N20" s="46"/>
    </row>
    <row r="21" spans="1:14" ht="15.75" customHeight="1">
      <c r="A21" s="47"/>
      <c r="B21" s="47" t="s">
        <v>144</v>
      </c>
      <c r="C21" s="47">
        <f t="shared" ref="C21:J21" si="12">C17*C20</f>
        <v>316.40000000000003</v>
      </c>
      <c r="D21" s="47">
        <f t="shared" si="12"/>
        <v>494</v>
      </c>
      <c r="E21" s="47">
        <f t="shared" si="12"/>
        <v>79.400000000000006</v>
      </c>
      <c r="F21" s="47">
        <f t="shared" si="12"/>
        <v>6.26</v>
      </c>
      <c r="G21" s="47">
        <f>G17*G20</f>
        <v>1113520</v>
      </c>
      <c r="H21" s="47">
        <f t="shared" si="12"/>
        <v>1746529.2000000002</v>
      </c>
      <c r="I21" s="47">
        <f>I17*I20</f>
        <v>1401426</v>
      </c>
      <c r="J21" s="47">
        <f t="shared" si="12"/>
        <v>1253126.8</v>
      </c>
      <c r="K21" s="46">
        <f t="shared" ref="K21:K22" si="13">AVERAGE(C21:F21)</f>
        <v>224.01500000000001</v>
      </c>
      <c r="L21" s="46">
        <f>AVERAGE(H21:J21)</f>
        <v>1467027.3333333333</v>
      </c>
      <c r="M21" s="46">
        <f t="shared" ref="M21:M22" si="14">STDEV(C21:F21)</f>
        <v>223.42607032304892</v>
      </c>
      <c r="N21" s="46">
        <f>STDEV(H21:J21)</f>
        <v>253158.31663758142</v>
      </c>
    </row>
    <row r="22" spans="1:14" ht="15.75" customHeight="1">
      <c r="A22" s="47"/>
      <c r="B22" s="47" t="s">
        <v>145</v>
      </c>
      <c r="C22" s="47">
        <f t="shared" ref="C22:J22" si="15">C18*C20</f>
        <v>119.14</v>
      </c>
      <c r="D22" s="47">
        <f t="shared" si="15"/>
        <v>151.80000000000001</v>
      </c>
      <c r="E22" s="47">
        <f t="shared" si="15"/>
        <v>72.8</v>
      </c>
      <c r="F22" s="47">
        <f t="shared" si="15"/>
        <v>6.26</v>
      </c>
      <c r="G22" s="47">
        <f>G18*G20</f>
        <v>599864</v>
      </c>
      <c r="H22" s="47">
        <f t="shared" si="15"/>
        <v>886298.39999999991</v>
      </c>
      <c r="I22" s="47">
        <f>I18*I20</f>
        <v>732240</v>
      </c>
      <c r="J22" s="47">
        <f t="shared" si="15"/>
        <v>692622.8</v>
      </c>
      <c r="K22" s="46">
        <f t="shared" si="13"/>
        <v>87.5</v>
      </c>
      <c r="L22" s="46">
        <f>AVERAGE(H22:J22)</f>
        <v>770387.06666666677</v>
      </c>
      <c r="M22" s="46">
        <f t="shared" si="14"/>
        <v>63.117898148359359</v>
      </c>
      <c r="N22" s="46">
        <f>STDEV(H22:J22)</f>
        <v>102317.92868453315</v>
      </c>
    </row>
    <row r="23" spans="1:14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6"/>
      <c r="L23" s="46">
        <f>L22-K22</f>
        <v>770299.56666666677</v>
      </c>
      <c r="M23" s="46"/>
      <c r="N23" s="46">
        <f>N22-M22</f>
        <v>102254.8107863848</v>
      </c>
    </row>
    <row r="24" spans="1:14" ht="15.75" customHeight="1">
      <c r="A24" s="47" t="s">
        <v>149</v>
      </c>
      <c r="B24" s="47" t="s">
        <v>140</v>
      </c>
      <c r="C24" s="47">
        <v>26.1</v>
      </c>
      <c r="D24" s="47">
        <v>65.400000000000006</v>
      </c>
      <c r="E24" s="47">
        <v>5.87</v>
      </c>
      <c r="F24" s="47">
        <v>5.92</v>
      </c>
      <c r="G24" s="47">
        <v>97.9</v>
      </c>
      <c r="H24" s="47">
        <v>70.599999999999994</v>
      </c>
      <c r="I24" s="47">
        <v>55.8</v>
      </c>
      <c r="J24" s="51">
        <v>5.62</v>
      </c>
      <c r="K24" s="46"/>
      <c r="L24" s="46"/>
      <c r="M24" s="46"/>
      <c r="N24" s="46"/>
    </row>
    <row r="25" spans="1:14" ht="15.75" customHeight="1">
      <c r="B25" s="47" t="s">
        <v>141</v>
      </c>
      <c r="C25" s="47">
        <v>7.15</v>
      </c>
      <c r="D25" s="47">
        <v>18.399999999999999</v>
      </c>
      <c r="E25" s="47">
        <v>5.73</v>
      </c>
      <c r="F25" s="47">
        <v>5.78</v>
      </c>
      <c r="G25" s="47">
        <v>44.4</v>
      </c>
      <c r="H25" s="47">
        <v>35.799999999999997</v>
      </c>
      <c r="I25" s="47">
        <v>29.6</v>
      </c>
      <c r="J25" s="51">
        <v>5.5</v>
      </c>
      <c r="K25" s="46"/>
      <c r="L25" s="46"/>
      <c r="M25" s="46"/>
      <c r="N25" s="46"/>
    </row>
    <row r="26" spans="1:14" ht="15.75" customHeight="1">
      <c r="B26" s="47" t="s">
        <v>142</v>
      </c>
      <c r="C26" s="47">
        <v>5.22</v>
      </c>
      <c r="D26" s="47">
        <v>6.44</v>
      </c>
      <c r="E26" s="47">
        <v>5.52</v>
      </c>
      <c r="F26" s="47">
        <v>5.49</v>
      </c>
      <c r="G26" s="47">
        <v>43.9</v>
      </c>
      <c r="H26" s="47">
        <v>35.1</v>
      </c>
      <c r="I26" s="47">
        <v>29</v>
      </c>
      <c r="J26" s="51">
        <v>5.27</v>
      </c>
      <c r="K26" s="46">
        <f>AVERAGE(C26:F26)</f>
        <v>5.6675000000000004</v>
      </c>
      <c r="L26" s="46">
        <f>AVERAGE(G26:I26)</f>
        <v>36</v>
      </c>
      <c r="M26" s="46">
        <f>STDEV(C26:F26)</f>
        <v>0.53237674629908505</v>
      </c>
      <c r="N26" s="46">
        <f>STDEV(G26:I26)</f>
        <v>7.4906608520209952</v>
      </c>
    </row>
    <row r="27" spans="1:14" ht="15.75" customHeight="1">
      <c r="B27" s="47" t="s">
        <v>143</v>
      </c>
      <c r="C27" s="47">
        <v>22</v>
      </c>
      <c r="D27" s="47">
        <v>32</v>
      </c>
      <c r="E27" s="47">
        <v>172</v>
      </c>
      <c r="F27" s="47">
        <v>100</v>
      </c>
      <c r="G27" s="47">
        <v>25718</v>
      </c>
      <c r="H27" s="47">
        <v>22844</v>
      </c>
      <c r="I27" s="47">
        <v>18378</v>
      </c>
      <c r="J27" s="51">
        <v>301</v>
      </c>
      <c r="K27" s="46"/>
      <c r="L27" s="46"/>
      <c r="M27" s="46"/>
      <c r="N27" s="46"/>
    </row>
    <row r="28" spans="1:14" ht="15.75" customHeight="1">
      <c r="B28" s="47" t="s">
        <v>144</v>
      </c>
      <c r="C28" s="47">
        <f t="shared" ref="C28:J28" si="16">C24*C27</f>
        <v>574.20000000000005</v>
      </c>
      <c r="D28" s="47">
        <f t="shared" si="16"/>
        <v>2092.8000000000002</v>
      </c>
      <c r="E28" s="47">
        <f t="shared" si="16"/>
        <v>1009.64</v>
      </c>
      <c r="F28" s="47">
        <f t="shared" si="16"/>
        <v>592</v>
      </c>
      <c r="G28" s="47">
        <f t="shared" si="16"/>
        <v>2517792.2000000002</v>
      </c>
      <c r="H28" s="47">
        <f t="shared" si="16"/>
        <v>1612786.4</v>
      </c>
      <c r="I28" s="47">
        <f t="shared" si="16"/>
        <v>1025492.3999999999</v>
      </c>
      <c r="J28" s="51">
        <f t="shared" si="16"/>
        <v>1691.6200000000001</v>
      </c>
      <c r="K28" s="46">
        <f t="shared" ref="K28:K29" si="17">AVERAGE(C28:F28)</f>
        <v>1067.1599999999999</v>
      </c>
      <c r="L28" s="46">
        <f t="shared" ref="L28:L29" si="18">AVERAGE(G28:I28)</f>
        <v>1718690.3333333333</v>
      </c>
      <c r="M28" s="46">
        <f t="shared" ref="M28:M29" si="19">STDEV(C28:F28)</f>
        <v>712.74879801138025</v>
      </c>
      <c r="N28" s="46">
        <f t="shared" ref="N28:N29" si="20">STDEV(G28:I28)</f>
        <v>751765.52567380562</v>
      </c>
    </row>
    <row r="29" spans="1:14" ht="15.75" customHeight="1">
      <c r="A29" s="47"/>
      <c r="B29" s="47" t="s">
        <v>145</v>
      </c>
      <c r="C29" s="47">
        <f t="shared" ref="C29:J29" si="21">C25*C27</f>
        <v>157.30000000000001</v>
      </c>
      <c r="D29" s="47">
        <f t="shared" si="21"/>
        <v>588.79999999999995</v>
      </c>
      <c r="E29" s="47">
        <f t="shared" si="21"/>
        <v>985.56000000000006</v>
      </c>
      <c r="F29" s="47">
        <f t="shared" si="21"/>
        <v>578</v>
      </c>
      <c r="G29" s="47">
        <f t="shared" si="21"/>
        <v>1141879.2</v>
      </c>
      <c r="H29" s="47">
        <f t="shared" si="21"/>
        <v>817815.2</v>
      </c>
      <c r="I29" s="47">
        <f t="shared" si="21"/>
        <v>543988.80000000005</v>
      </c>
      <c r="J29" s="51">
        <f t="shared" si="21"/>
        <v>1655.5</v>
      </c>
      <c r="K29" s="46">
        <f t="shared" si="17"/>
        <v>577.41499999999996</v>
      </c>
      <c r="L29" s="46">
        <f t="shared" si="18"/>
        <v>834561.06666666677</v>
      </c>
      <c r="M29" s="46">
        <f t="shared" si="19"/>
        <v>338.23508328774335</v>
      </c>
      <c r="N29" s="46">
        <f t="shared" si="20"/>
        <v>299296.76015762833</v>
      </c>
    </row>
    <row r="30" spans="1:14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6"/>
      <c r="L30" s="46">
        <f>L29-K29</f>
        <v>833983.65166666673</v>
      </c>
      <c r="M30" s="46"/>
      <c r="N30" s="46">
        <f>N29-M29</f>
        <v>298958.52507434058</v>
      </c>
    </row>
    <row r="31" spans="1:14" ht="15.75" customHeight="1">
      <c r="A31" s="48"/>
      <c r="K31" s="46"/>
      <c r="L31" s="46"/>
      <c r="M31" s="46"/>
      <c r="N31" s="46"/>
    </row>
    <row r="32" spans="1:14" ht="15.75" customHeight="1">
      <c r="B32" s="48" t="s">
        <v>133</v>
      </c>
      <c r="C32" s="48" t="s">
        <v>134</v>
      </c>
      <c r="D32" s="48"/>
      <c r="E32" s="48" t="s">
        <v>150</v>
      </c>
      <c r="F32" s="48" t="s">
        <v>151</v>
      </c>
      <c r="I32" s="48" t="s">
        <v>133</v>
      </c>
      <c r="J32" s="48" t="s">
        <v>134</v>
      </c>
      <c r="K32" s="46"/>
      <c r="L32" s="46"/>
      <c r="M32" s="46"/>
      <c r="N32" s="46"/>
    </row>
    <row r="33" spans="1:14" ht="15.75" customHeight="1">
      <c r="A33" s="48" t="s">
        <v>146</v>
      </c>
      <c r="B33" s="48">
        <v>71.09</v>
      </c>
      <c r="C33" s="48">
        <v>1075285.3666666667</v>
      </c>
      <c r="D33" s="48"/>
      <c r="E33" s="48">
        <v>52.202857520765413</v>
      </c>
      <c r="F33" s="48">
        <v>451528.60190227517</v>
      </c>
      <c r="I33" s="47">
        <v>6.1349999999999998</v>
      </c>
      <c r="J33" s="47">
        <v>32.566666666666663</v>
      </c>
      <c r="K33" s="46">
        <f t="shared" ref="K33:K36" si="22">J33-I33</f>
        <v>26.431666666666665</v>
      </c>
      <c r="L33" s="46">
        <v>0.15011106998930263</v>
      </c>
      <c r="M33" s="46"/>
      <c r="N33" s="46">
        <v>4.3015501081974312</v>
      </c>
    </row>
    <row r="34" spans="1:14" ht="14">
      <c r="A34" s="48" t="s">
        <v>147</v>
      </c>
      <c r="B34" s="48">
        <v>662.49750000000006</v>
      </c>
      <c r="C34" s="48">
        <v>149583.27499999999</v>
      </c>
      <c r="D34" s="48"/>
      <c r="E34" s="48">
        <v>715.79057879498998</v>
      </c>
      <c r="F34" s="48">
        <v>45000.668511728793</v>
      </c>
      <c r="I34" s="47">
        <v>7.0399999999999991</v>
      </c>
      <c r="J34" s="47">
        <v>9.3600000000000012</v>
      </c>
      <c r="K34" s="46">
        <f t="shared" si="22"/>
        <v>2.3200000000000021</v>
      </c>
      <c r="L34" s="46">
        <v>3.6066743684452574</v>
      </c>
      <c r="M34" s="46"/>
      <c r="N34" s="46">
        <v>0.51140329812520113</v>
      </c>
    </row>
    <row r="35" spans="1:14" ht="14">
      <c r="A35" s="48" t="s">
        <v>148</v>
      </c>
      <c r="B35" s="48">
        <v>224.01500000000001</v>
      </c>
      <c r="C35" s="48">
        <v>1378650.5</v>
      </c>
      <c r="D35" s="48"/>
      <c r="E35" s="48">
        <v>223.42607032304892</v>
      </c>
      <c r="F35" s="48">
        <v>271970.4901920305</v>
      </c>
      <c r="I35" s="47">
        <v>6.0075000000000003</v>
      </c>
      <c r="J35" s="47">
        <v>34.774999999999999</v>
      </c>
      <c r="K35" s="46">
        <f t="shared" si="22"/>
        <v>28.767499999999998</v>
      </c>
      <c r="L35" s="46">
        <v>0.26170912606683511</v>
      </c>
      <c r="M35" s="46"/>
      <c r="N35" s="46">
        <v>3.2968419232148007</v>
      </c>
    </row>
    <row r="36" spans="1:14" ht="14">
      <c r="A36" s="48" t="s">
        <v>149</v>
      </c>
      <c r="B36" s="47">
        <v>1067.1599999999999</v>
      </c>
      <c r="C36" s="48">
        <v>1718690.3333333333</v>
      </c>
      <c r="D36" s="48"/>
      <c r="E36" s="48">
        <v>712.7487980113799</v>
      </c>
      <c r="F36" s="48">
        <v>751765.52567380574</v>
      </c>
      <c r="I36" s="47">
        <v>5.6675000000000004</v>
      </c>
      <c r="J36" s="47">
        <v>36</v>
      </c>
      <c r="K36" s="46">
        <f t="shared" si="22"/>
        <v>30.3325</v>
      </c>
      <c r="L36" s="46">
        <v>0.53237674629908505</v>
      </c>
      <c r="M36" s="46"/>
      <c r="N36" s="46">
        <v>7.4906608520210005</v>
      </c>
    </row>
    <row r="37" spans="1:14" ht="14">
      <c r="A37" s="48"/>
      <c r="B37" s="47"/>
      <c r="C37" s="48"/>
      <c r="D37" s="48"/>
      <c r="E37" s="47"/>
      <c r="F37" s="48"/>
      <c r="I37" s="47"/>
      <c r="J37" s="47"/>
      <c r="K37" s="46"/>
      <c r="L37" s="46"/>
      <c r="M37" s="46"/>
      <c r="N37" s="46"/>
    </row>
    <row r="38" spans="1:14" ht="14">
      <c r="A38" s="48"/>
      <c r="B38" s="48"/>
      <c r="C38" s="48"/>
      <c r="D38" s="48"/>
      <c r="E38" s="48"/>
      <c r="F38" s="48"/>
      <c r="I38" s="47"/>
      <c r="J38" s="47"/>
      <c r="K38" s="46"/>
      <c r="L38" s="46"/>
      <c r="M38" s="46"/>
      <c r="N38" s="46"/>
    </row>
    <row r="39" spans="1:14" ht="14">
      <c r="A39" s="48"/>
      <c r="B39" s="48"/>
      <c r="C39" s="48"/>
      <c r="D39" s="48"/>
      <c r="E39" s="48"/>
      <c r="F39" s="48"/>
      <c r="I39" s="47"/>
      <c r="J39" s="47"/>
      <c r="K39" s="46"/>
      <c r="L39" s="46"/>
      <c r="M39" s="46"/>
      <c r="N39" s="46"/>
    </row>
    <row r="40" spans="1:14" ht="14">
      <c r="A40" s="48"/>
      <c r="B40" s="48"/>
      <c r="C40" s="48"/>
      <c r="E40" s="48"/>
      <c r="F40" s="48"/>
      <c r="I40" s="47"/>
      <c r="J40" s="47"/>
      <c r="K40" s="46"/>
      <c r="L40" s="46"/>
      <c r="M40" s="46"/>
      <c r="N40" s="46"/>
    </row>
    <row r="41" spans="1:14" ht="14">
      <c r="A41" s="48"/>
      <c r="B41" s="48"/>
      <c r="C41" s="48"/>
      <c r="E41" s="48"/>
      <c r="F41" s="48"/>
      <c r="I41" s="47"/>
      <c r="J41" s="47"/>
      <c r="K41" s="46"/>
      <c r="L41" s="46"/>
      <c r="M41" s="46"/>
      <c r="N41" s="46"/>
    </row>
    <row r="42" spans="1:14" ht="14">
      <c r="K42" s="46"/>
      <c r="L42" s="46"/>
      <c r="M42" s="46"/>
      <c r="N42" s="46"/>
    </row>
    <row r="43" spans="1:14" ht="14">
      <c r="A43" s="47" t="s">
        <v>64</v>
      </c>
      <c r="D43" s="47" t="s">
        <v>142</v>
      </c>
      <c r="G43" s="46" t="s">
        <v>152</v>
      </c>
      <c r="H43" s="46"/>
      <c r="K43" s="46"/>
      <c r="N43" s="46"/>
    </row>
    <row r="44" spans="1:14" ht="14">
      <c r="B44" s="47" t="s">
        <v>102</v>
      </c>
      <c r="E44" s="47" t="s">
        <v>102</v>
      </c>
      <c r="G44" s="46"/>
      <c r="H44" s="47" t="s">
        <v>102</v>
      </c>
      <c r="I44" s="47"/>
      <c r="K44" s="46"/>
      <c r="N44" s="47"/>
    </row>
    <row r="45" spans="1:14" ht="14">
      <c r="A45" s="47" t="s">
        <v>103</v>
      </c>
      <c r="B45" s="48">
        <v>1075285.3666666667</v>
      </c>
      <c r="D45" s="47" t="s">
        <v>103</v>
      </c>
      <c r="E45" s="47">
        <v>32.566666666666663</v>
      </c>
      <c r="G45" s="46" t="s">
        <v>103</v>
      </c>
      <c r="H45" s="45">
        <v>589266.28000000014</v>
      </c>
      <c r="I45" s="47"/>
      <c r="K45" s="46"/>
      <c r="N45" s="50"/>
    </row>
    <row r="46" spans="1:14" ht="14">
      <c r="A46" s="47" t="s">
        <v>153</v>
      </c>
      <c r="B46" s="48">
        <v>149583.27499999999</v>
      </c>
      <c r="D46" s="47" t="s">
        <v>153</v>
      </c>
      <c r="E46" s="47">
        <v>9.3600000000000012</v>
      </c>
      <c r="G46" s="46" t="s">
        <v>153</v>
      </c>
      <c r="H46" s="45">
        <v>89334.762500000012</v>
      </c>
      <c r="I46" s="47"/>
      <c r="K46" s="46"/>
      <c r="N46" s="50"/>
    </row>
    <row r="47" spans="1:14" ht="14">
      <c r="A47" s="47" t="s">
        <v>154</v>
      </c>
      <c r="B47" s="48">
        <v>1378650.5</v>
      </c>
      <c r="D47" s="47" t="s">
        <v>154</v>
      </c>
      <c r="E47" s="47">
        <v>34.774999999999999</v>
      </c>
      <c r="G47" s="46" t="s">
        <v>154</v>
      </c>
      <c r="H47" s="45">
        <v>770299.57</v>
      </c>
      <c r="I47" s="47"/>
      <c r="K47" s="46"/>
      <c r="N47" s="50"/>
    </row>
    <row r="48" spans="1:14" ht="14">
      <c r="A48" s="47" t="s">
        <v>155</v>
      </c>
      <c r="B48" s="48">
        <v>1718690.3333333333</v>
      </c>
      <c r="D48" s="47" t="s">
        <v>155</v>
      </c>
      <c r="E48" s="47">
        <v>36</v>
      </c>
      <c r="G48" s="46" t="s">
        <v>155</v>
      </c>
      <c r="H48" s="45">
        <v>833983.65166666673</v>
      </c>
      <c r="I48" s="47"/>
      <c r="K48" s="46"/>
      <c r="N48" s="46"/>
    </row>
    <row r="49" spans="2:14" ht="14">
      <c r="G49" s="46"/>
      <c r="H49" s="46"/>
      <c r="K49" s="46"/>
      <c r="N49" s="46"/>
    </row>
    <row r="50" spans="2:14" ht="14">
      <c r="B50" s="48">
        <v>451528.60190227517</v>
      </c>
      <c r="E50" s="47">
        <v>4.3015501081974312</v>
      </c>
      <c r="G50" s="46"/>
      <c r="H50" s="45">
        <v>186174.48</v>
      </c>
      <c r="I50" s="47"/>
      <c r="K50" s="46"/>
    </row>
    <row r="51" spans="2:14" ht="14">
      <c r="B51" s="48">
        <v>45000.668511728793</v>
      </c>
      <c r="E51" s="47">
        <v>0.51140329812520113</v>
      </c>
      <c r="G51" s="46"/>
      <c r="H51" s="45">
        <v>23217</v>
      </c>
      <c r="I51" s="47"/>
      <c r="K51" s="46"/>
    </row>
    <row r="52" spans="2:14" ht="14">
      <c r="B52" s="48">
        <v>271970.4901920305</v>
      </c>
      <c r="E52" s="47">
        <v>3.2968419232148007</v>
      </c>
      <c r="G52" s="46"/>
      <c r="H52" s="45">
        <v>102254.81</v>
      </c>
      <c r="I52" s="47"/>
      <c r="K52" s="46"/>
    </row>
    <row r="53" spans="2:14" ht="14">
      <c r="B53" s="48">
        <v>751765.52567380574</v>
      </c>
      <c r="E53" s="47">
        <v>7.4906608520210005</v>
      </c>
      <c r="G53" s="46"/>
      <c r="H53" s="45">
        <v>298958.53000000003</v>
      </c>
      <c r="I53" s="47"/>
      <c r="K53" s="46"/>
    </row>
    <row r="54" spans="2:14" ht="14">
      <c r="K54" s="46"/>
      <c r="L54" s="46"/>
      <c r="M54" s="46"/>
      <c r="N54" s="46"/>
    </row>
    <row r="55" spans="2:14" ht="14">
      <c r="K55" s="46"/>
      <c r="L55" s="46"/>
      <c r="M55" s="46"/>
      <c r="N55" s="46"/>
    </row>
    <row r="56" spans="2:14" ht="14">
      <c r="K56" s="46"/>
      <c r="L56" s="46"/>
      <c r="M56" s="46"/>
      <c r="N56" s="46"/>
    </row>
    <row r="57" spans="2:14" ht="14">
      <c r="K57" s="46"/>
      <c r="L57" s="46"/>
      <c r="M57" s="46"/>
      <c r="N57" s="46"/>
    </row>
    <row r="58" spans="2:14" ht="14">
      <c r="K58" s="46"/>
      <c r="L58" s="46"/>
      <c r="M58" s="46"/>
      <c r="N58" s="46"/>
    </row>
    <row r="59" spans="2:14" ht="14">
      <c r="K59" s="46"/>
      <c r="L59" s="46"/>
      <c r="M59" s="46"/>
      <c r="N59" s="46"/>
    </row>
    <row r="60" spans="2:14" ht="14">
      <c r="K60" s="46"/>
      <c r="L60" s="46"/>
      <c r="M60" s="46"/>
      <c r="N60" s="46"/>
    </row>
    <row r="61" spans="2:14" ht="14">
      <c r="K61" s="46"/>
      <c r="L61" s="46"/>
      <c r="M61" s="46"/>
      <c r="N61" s="46"/>
    </row>
    <row r="62" spans="2:14" ht="14">
      <c r="K62" s="46"/>
      <c r="L62" s="46"/>
      <c r="M62" s="46"/>
      <c r="N62" s="46"/>
    </row>
    <row r="63" spans="2:14" ht="14">
      <c r="K63" s="46"/>
      <c r="L63" s="46"/>
      <c r="M63" s="46"/>
      <c r="N63" s="46"/>
    </row>
    <row r="64" spans="2:14" ht="14">
      <c r="K64" s="46"/>
      <c r="L64" s="46"/>
      <c r="M64" s="46"/>
      <c r="N64" s="46"/>
    </row>
    <row r="65" spans="11:14" ht="14">
      <c r="K65" s="46"/>
      <c r="L65" s="46"/>
      <c r="M65" s="46"/>
      <c r="N65" s="46"/>
    </row>
    <row r="66" spans="11:14" ht="14">
      <c r="K66" s="46"/>
      <c r="L66" s="46"/>
      <c r="M66" s="46"/>
      <c r="N66" s="46"/>
    </row>
    <row r="67" spans="11:14" ht="14">
      <c r="K67" s="46"/>
      <c r="L67" s="46"/>
      <c r="M67" s="46"/>
      <c r="N67" s="46"/>
    </row>
    <row r="68" spans="11:14" ht="14">
      <c r="K68" s="46"/>
      <c r="L68" s="46"/>
      <c r="M68" s="46"/>
      <c r="N68" s="46"/>
    </row>
    <row r="69" spans="11:14" ht="14">
      <c r="K69" s="46"/>
      <c r="L69" s="46"/>
      <c r="M69" s="46"/>
      <c r="N69" s="46"/>
    </row>
    <row r="70" spans="11:14" ht="14">
      <c r="K70" s="46"/>
      <c r="L70" s="46"/>
      <c r="M70" s="46"/>
      <c r="N70" s="46"/>
    </row>
    <row r="71" spans="11:14" ht="14">
      <c r="K71" s="46"/>
      <c r="L71" s="46"/>
      <c r="M71" s="46"/>
      <c r="N71" s="46"/>
    </row>
    <row r="72" spans="11:14" ht="14">
      <c r="K72" s="46"/>
      <c r="L72" s="46"/>
      <c r="M72" s="46"/>
      <c r="N72" s="46"/>
    </row>
    <row r="73" spans="11:14" ht="14">
      <c r="K73" s="46"/>
      <c r="L73" s="46"/>
      <c r="M73" s="46"/>
      <c r="N73" s="46"/>
    </row>
    <row r="74" spans="11:14" ht="14">
      <c r="K74" s="46"/>
      <c r="L74" s="46"/>
      <c r="M74" s="46"/>
      <c r="N74" s="46"/>
    </row>
    <row r="75" spans="11:14" ht="14">
      <c r="K75" s="46"/>
      <c r="L75" s="46"/>
      <c r="M75" s="46"/>
      <c r="N75" s="46"/>
    </row>
    <row r="76" spans="11:14" ht="14">
      <c r="K76" s="46"/>
      <c r="L76" s="46"/>
      <c r="M76" s="46"/>
      <c r="N76" s="46"/>
    </row>
    <row r="77" spans="11:14" ht="14">
      <c r="K77" s="46"/>
      <c r="L77" s="46"/>
      <c r="M77" s="46"/>
      <c r="N77" s="46"/>
    </row>
    <row r="78" spans="11:14" ht="14">
      <c r="K78" s="46"/>
      <c r="L78" s="46"/>
      <c r="M78" s="46"/>
      <c r="N78" s="46"/>
    </row>
    <row r="79" spans="11:14" ht="14">
      <c r="K79" s="46"/>
      <c r="L79" s="46"/>
      <c r="M79" s="46"/>
      <c r="N79" s="46"/>
    </row>
    <row r="80" spans="11:14" ht="14">
      <c r="K80" s="46"/>
      <c r="L80" s="46"/>
      <c r="M80" s="46"/>
      <c r="N80" s="46"/>
    </row>
    <row r="81" spans="11:14" ht="14">
      <c r="K81" s="46"/>
      <c r="L81" s="46"/>
      <c r="M81" s="46"/>
      <c r="N81" s="46"/>
    </row>
    <row r="82" spans="11:14" ht="14">
      <c r="K82" s="46"/>
      <c r="L82" s="46"/>
      <c r="M82" s="46"/>
      <c r="N82" s="46"/>
    </row>
    <row r="83" spans="11:14" ht="14">
      <c r="K83" s="46"/>
      <c r="L83" s="46"/>
      <c r="M83" s="46"/>
      <c r="N83" s="46"/>
    </row>
    <row r="84" spans="11:14" ht="14">
      <c r="K84" s="46"/>
      <c r="L84" s="46"/>
      <c r="M84" s="46"/>
      <c r="N84" s="46"/>
    </row>
    <row r="85" spans="11:14" ht="14">
      <c r="K85" s="46"/>
      <c r="L85" s="46"/>
      <c r="M85" s="46"/>
      <c r="N85" s="46"/>
    </row>
    <row r="86" spans="11:14" ht="14">
      <c r="K86" s="46"/>
      <c r="L86" s="46"/>
      <c r="M86" s="46"/>
      <c r="N86" s="46"/>
    </row>
    <row r="87" spans="11:14" ht="14">
      <c r="K87" s="46"/>
      <c r="L87" s="46"/>
      <c r="M87" s="46"/>
      <c r="N87" s="46"/>
    </row>
    <row r="88" spans="11:14" ht="14">
      <c r="K88" s="46"/>
      <c r="L88" s="46"/>
      <c r="M88" s="46"/>
      <c r="N88" s="46"/>
    </row>
    <row r="89" spans="11:14" ht="14">
      <c r="K89" s="46"/>
      <c r="L89" s="46"/>
      <c r="M89" s="46"/>
      <c r="N89" s="46"/>
    </row>
    <row r="90" spans="11:14" ht="14">
      <c r="K90" s="46"/>
      <c r="L90" s="46"/>
      <c r="M90" s="46"/>
      <c r="N90" s="46"/>
    </row>
    <row r="91" spans="11:14" ht="14">
      <c r="K91" s="46"/>
      <c r="L91" s="46"/>
      <c r="M91" s="46"/>
      <c r="N91" s="46"/>
    </row>
    <row r="92" spans="11:14" ht="14">
      <c r="K92" s="46"/>
      <c r="L92" s="46"/>
      <c r="M92" s="46"/>
      <c r="N92" s="46"/>
    </row>
    <row r="93" spans="11:14" ht="14">
      <c r="K93" s="46"/>
      <c r="L93" s="46"/>
      <c r="M93" s="46"/>
      <c r="N93" s="46"/>
    </row>
    <row r="94" spans="11:14" ht="14">
      <c r="K94" s="46"/>
      <c r="L94" s="46"/>
      <c r="M94" s="46"/>
      <c r="N94" s="46"/>
    </row>
    <row r="95" spans="11:14" ht="14">
      <c r="K95" s="46"/>
      <c r="L95" s="46"/>
      <c r="M95" s="46"/>
      <c r="N95" s="46"/>
    </row>
    <row r="96" spans="11:14" ht="14">
      <c r="K96" s="46"/>
      <c r="L96" s="46"/>
      <c r="M96" s="46"/>
      <c r="N96" s="46"/>
    </row>
    <row r="97" spans="11:14" ht="14">
      <c r="K97" s="46"/>
      <c r="L97" s="46"/>
      <c r="M97" s="46"/>
      <c r="N97" s="46"/>
    </row>
    <row r="98" spans="11:14" ht="14">
      <c r="K98" s="46"/>
      <c r="L98" s="46"/>
      <c r="M98" s="46"/>
      <c r="N98" s="46"/>
    </row>
    <row r="99" spans="11:14" ht="14">
      <c r="K99" s="46"/>
      <c r="L99" s="46"/>
      <c r="M99" s="46"/>
      <c r="N99" s="46"/>
    </row>
    <row r="100" spans="11:14" ht="14">
      <c r="K100" s="46"/>
      <c r="L100" s="46"/>
      <c r="M100" s="46"/>
      <c r="N100" s="46"/>
    </row>
    <row r="101" spans="11:14" ht="14">
      <c r="K101" s="46"/>
      <c r="L101" s="46"/>
      <c r="M101" s="46"/>
      <c r="N101" s="46"/>
    </row>
    <row r="102" spans="11:14" ht="14">
      <c r="K102" s="46"/>
      <c r="L102" s="46"/>
      <c r="M102" s="46"/>
      <c r="N102" s="46"/>
    </row>
    <row r="103" spans="11:14" ht="14">
      <c r="K103" s="46"/>
      <c r="L103" s="46"/>
      <c r="M103" s="46"/>
      <c r="N103" s="46"/>
    </row>
    <row r="104" spans="11:14" ht="14">
      <c r="K104" s="46"/>
      <c r="L104" s="46"/>
      <c r="M104" s="46"/>
      <c r="N104" s="46"/>
    </row>
    <row r="105" spans="11:14" ht="14">
      <c r="K105" s="46"/>
      <c r="L105" s="46"/>
      <c r="M105" s="46"/>
      <c r="N105" s="46"/>
    </row>
    <row r="106" spans="11:14" ht="14">
      <c r="K106" s="46"/>
      <c r="L106" s="46"/>
      <c r="M106" s="46"/>
      <c r="N106" s="46"/>
    </row>
    <row r="107" spans="11:14" ht="14">
      <c r="K107" s="46"/>
      <c r="L107" s="46"/>
      <c r="M107" s="46"/>
      <c r="N107" s="46"/>
    </row>
    <row r="108" spans="11:14" ht="14">
      <c r="K108" s="46"/>
      <c r="L108" s="46"/>
      <c r="M108" s="46"/>
      <c r="N108" s="46"/>
    </row>
    <row r="109" spans="11:14" ht="14">
      <c r="K109" s="46"/>
      <c r="L109" s="46"/>
      <c r="M109" s="46"/>
      <c r="N109" s="46"/>
    </row>
    <row r="110" spans="11:14" ht="14">
      <c r="K110" s="46"/>
      <c r="L110" s="46"/>
      <c r="M110" s="46"/>
      <c r="N110" s="46"/>
    </row>
    <row r="111" spans="11:14" ht="14">
      <c r="K111" s="46"/>
      <c r="L111" s="46"/>
      <c r="M111" s="46"/>
      <c r="N111" s="46"/>
    </row>
    <row r="112" spans="11:14" ht="14">
      <c r="K112" s="46"/>
      <c r="L112" s="46"/>
      <c r="M112" s="46"/>
      <c r="N112" s="46"/>
    </row>
    <row r="113" spans="11:14" ht="14">
      <c r="K113" s="46"/>
      <c r="L113" s="46"/>
      <c r="M113" s="46"/>
      <c r="N113" s="46"/>
    </row>
    <row r="114" spans="11:14" ht="14">
      <c r="K114" s="46"/>
      <c r="L114" s="46"/>
      <c r="M114" s="46"/>
      <c r="N114" s="46"/>
    </row>
    <row r="115" spans="11:14" ht="14">
      <c r="K115" s="46"/>
      <c r="L115" s="46"/>
      <c r="M115" s="46"/>
      <c r="N115" s="46"/>
    </row>
    <row r="116" spans="11:14" ht="14">
      <c r="K116" s="46"/>
      <c r="L116" s="46"/>
      <c r="M116" s="46"/>
      <c r="N116" s="46"/>
    </row>
    <row r="117" spans="11:14" ht="14">
      <c r="K117" s="46"/>
      <c r="L117" s="46"/>
      <c r="M117" s="46"/>
      <c r="N117" s="46"/>
    </row>
    <row r="118" spans="11:14" ht="14">
      <c r="K118" s="46"/>
      <c r="L118" s="46"/>
      <c r="M118" s="46"/>
      <c r="N118" s="46"/>
    </row>
    <row r="119" spans="11:14" ht="14">
      <c r="K119" s="46"/>
      <c r="L119" s="46"/>
      <c r="M119" s="46"/>
      <c r="N119" s="46"/>
    </row>
    <row r="120" spans="11:14" ht="14">
      <c r="K120" s="46"/>
      <c r="L120" s="46"/>
      <c r="M120" s="46"/>
      <c r="N120" s="46"/>
    </row>
    <row r="121" spans="11:14" ht="14">
      <c r="K121" s="46"/>
      <c r="L121" s="46"/>
      <c r="M121" s="46"/>
      <c r="N121" s="46"/>
    </row>
    <row r="122" spans="11:14" ht="14">
      <c r="K122" s="46"/>
      <c r="L122" s="46"/>
      <c r="M122" s="46"/>
      <c r="N122" s="46"/>
    </row>
    <row r="123" spans="11:14" ht="14">
      <c r="K123" s="46"/>
      <c r="L123" s="46"/>
      <c r="M123" s="46"/>
      <c r="N123" s="46"/>
    </row>
    <row r="124" spans="11:14" ht="14">
      <c r="K124" s="46"/>
      <c r="L124" s="46"/>
      <c r="M124" s="46"/>
      <c r="N124" s="46"/>
    </row>
    <row r="125" spans="11:14" ht="14">
      <c r="K125" s="46"/>
      <c r="L125" s="46"/>
      <c r="M125" s="46"/>
      <c r="N125" s="46"/>
    </row>
    <row r="126" spans="11:14" ht="14">
      <c r="K126" s="46"/>
      <c r="L126" s="46"/>
      <c r="M126" s="46"/>
      <c r="N126" s="46"/>
    </row>
    <row r="127" spans="11:14" ht="14">
      <c r="K127" s="46"/>
      <c r="L127" s="46"/>
      <c r="M127" s="46"/>
      <c r="N127" s="46"/>
    </row>
    <row r="128" spans="11:14" ht="14">
      <c r="K128" s="46"/>
      <c r="L128" s="46"/>
      <c r="M128" s="46"/>
      <c r="N128" s="46"/>
    </row>
    <row r="129" spans="11:14" ht="14">
      <c r="K129" s="46"/>
      <c r="L129" s="46"/>
      <c r="M129" s="46"/>
      <c r="N129" s="46"/>
    </row>
    <row r="130" spans="11:14" ht="14">
      <c r="K130" s="46"/>
      <c r="L130" s="46"/>
      <c r="M130" s="46"/>
      <c r="N130" s="46"/>
    </row>
    <row r="131" spans="11:14" ht="14">
      <c r="K131" s="46"/>
      <c r="L131" s="46"/>
      <c r="M131" s="46"/>
      <c r="N131" s="46"/>
    </row>
    <row r="132" spans="11:14" ht="14">
      <c r="K132" s="46"/>
      <c r="L132" s="46"/>
      <c r="M132" s="46"/>
      <c r="N132" s="46"/>
    </row>
    <row r="133" spans="11:14" ht="14">
      <c r="K133" s="46"/>
      <c r="L133" s="46"/>
      <c r="M133" s="46"/>
      <c r="N133" s="46"/>
    </row>
    <row r="134" spans="11:14" ht="14">
      <c r="K134" s="46"/>
      <c r="L134" s="46"/>
      <c r="M134" s="46"/>
      <c r="N134" s="46"/>
    </row>
    <row r="135" spans="11:14" ht="14">
      <c r="K135" s="46"/>
      <c r="L135" s="46"/>
      <c r="M135" s="46"/>
      <c r="N135" s="46"/>
    </row>
    <row r="136" spans="11:14" ht="14">
      <c r="K136" s="46"/>
      <c r="L136" s="46"/>
      <c r="M136" s="46"/>
      <c r="N136" s="46"/>
    </row>
    <row r="137" spans="11:14" ht="14">
      <c r="K137" s="46"/>
      <c r="L137" s="46"/>
      <c r="M137" s="46"/>
      <c r="N137" s="46"/>
    </row>
    <row r="138" spans="11:14" ht="14">
      <c r="K138" s="46"/>
      <c r="L138" s="46"/>
      <c r="M138" s="46"/>
      <c r="N138" s="46"/>
    </row>
    <row r="139" spans="11:14" ht="14">
      <c r="K139" s="46"/>
      <c r="L139" s="46"/>
      <c r="M139" s="46"/>
      <c r="N139" s="46"/>
    </row>
    <row r="140" spans="11:14" ht="14">
      <c r="K140" s="46"/>
      <c r="L140" s="46"/>
      <c r="M140" s="46"/>
      <c r="N140" s="46"/>
    </row>
    <row r="141" spans="11:14" ht="14">
      <c r="K141" s="46"/>
      <c r="L141" s="46"/>
      <c r="M141" s="46"/>
      <c r="N141" s="46"/>
    </row>
    <row r="142" spans="11:14" ht="14">
      <c r="K142" s="46"/>
      <c r="L142" s="46"/>
      <c r="M142" s="46"/>
      <c r="N142" s="46"/>
    </row>
    <row r="143" spans="11:14" ht="14">
      <c r="K143" s="46"/>
      <c r="L143" s="46"/>
      <c r="M143" s="46"/>
      <c r="N143" s="46"/>
    </row>
    <row r="144" spans="11:14" ht="14">
      <c r="K144" s="46"/>
      <c r="L144" s="46"/>
      <c r="M144" s="46"/>
      <c r="N144" s="46"/>
    </row>
    <row r="145" spans="11:14" ht="14">
      <c r="K145" s="46"/>
      <c r="L145" s="46"/>
      <c r="M145" s="46"/>
      <c r="N145" s="46"/>
    </row>
    <row r="146" spans="11:14" ht="14">
      <c r="K146" s="46"/>
      <c r="L146" s="46"/>
      <c r="M146" s="46"/>
      <c r="N146" s="46"/>
    </row>
    <row r="147" spans="11:14" ht="14">
      <c r="K147" s="46"/>
      <c r="L147" s="46"/>
      <c r="M147" s="46"/>
      <c r="N147" s="46"/>
    </row>
    <row r="148" spans="11:14" ht="14">
      <c r="K148" s="46"/>
      <c r="L148" s="46"/>
      <c r="M148" s="46"/>
      <c r="N148" s="46"/>
    </row>
    <row r="149" spans="11:14" ht="14">
      <c r="K149" s="46"/>
      <c r="L149" s="46"/>
      <c r="M149" s="46"/>
      <c r="N149" s="46"/>
    </row>
    <row r="150" spans="11:14" ht="14">
      <c r="K150" s="46"/>
      <c r="L150" s="46"/>
      <c r="M150" s="46"/>
      <c r="N150" s="46"/>
    </row>
    <row r="151" spans="11:14" ht="14">
      <c r="K151" s="46"/>
      <c r="L151" s="46"/>
      <c r="M151" s="46"/>
      <c r="N151" s="46"/>
    </row>
    <row r="152" spans="11:14" ht="14">
      <c r="K152" s="46"/>
      <c r="L152" s="46"/>
      <c r="M152" s="46"/>
      <c r="N152" s="46"/>
    </row>
    <row r="153" spans="11:14" ht="14">
      <c r="K153" s="46"/>
      <c r="L153" s="46"/>
      <c r="M153" s="46"/>
      <c r="N153" s="46"/>
    </row>
    <row r="154" spans="11:14" ht="14">
      <c r="K154" s="46"/>
      <c r="L154" s="46"/>
      <c r="M154" s="46"/>
      <c r="N154" s="46"/>
    </row>
    <row r="155" spans="11:14" ht="14">
      <c r="K155" s="46"/>
      <c r="L155" s="46"/>
      <c r="M155" s="46"/>
      <c r="N155" s="46"/>
    </row>
    <row r="156" spans="11:14" ht="14">
      <c r="K156" s="46"/>
      <c r="L156" s="46"/>
      <c r="M156" s="46"/>
      <c r="N156" s="46"/>
    </row>
    <row r="157" spans="11:14" ht="14">
      <c r="K157" s="46"/>
      <c r="L157" s="46"/>
      <c r="M157" s="46"/>
      <c r="N157" s="46"/>
    </row>
    <row r="158" spans="11:14" ht="14">
      <c r="K158" s="46"/>
      <c r="L158" s="46"/>
      <c r="M158" s="46"/>
      <c r="N158" s="46"/>
    </row>
    <row r="159" spans="11:14" ht="14">
      <c r="K159" s="46"/>
      <c r="L159" s="46"/>
      <c r="M159" s="46"/>
      <c r="N159" s="46"/>
    </row>
    <row r="160" spans="11:14" ht="14">
      <c r="K160" s="46"/>
      <c r="L160" s="46"/>
      <c r="M160" s="46"/>
      <c r="N160" s="46"/>
    </row>
    <row r="161" spans="11:14" ht="14">
      <c r="K161" s="46"/>
      <c r="L161" s="46"/>
      <c r="M161" s="46"/>
      <c r="N161" s="46"/>
    </row>
    <row r="162" spans="11:14" ht="14">
      <c r="K162" s="46"/>
      <c r="L162" s="46"/>
      <c r="M162" s="46"/>
      <c r="N162" s="46"/>
    </row>
    <row r="163" spans="11:14" ht="14">
      <c r="K163" s="46"/>
      <c r="L163" s="46"/>
      <c r="M163" s="46"/>
      <c r="N163" s="46"/>
    </row>
    <row r="164" spans="11:14" ht="14">
      <c r="K164" s="46"/>
      <c r="L164" s="46"/>
      <c r="M164" s="46"/>
      <c r="N164" s="46"/>
    </row>
    <row r="165" spans="11:14" ht="14">
      <c r="K165" s="46"/>
      <c r="L165" s="46"/>
      <c r="M165" s="46"/>
      <c r="N165" s="46"/>
    </row>
    <row r="166" spans="11:14" ht="14">
      <c r="K166" s="46"/>
      <c r="L166" s="46"/>
      <c r="M166" s="46"/>
      <c r="N166" s="46"/>
    </row>
    <row r="167" spans="11:14" ht="14">
      <c r="K167" s="46"/>
      <c r="L167" s="46"/>
      <c r="M167" s="46"/>
      <c r="N167" s="46"/>
    </row>
    <row r="168" spans="11:14" ht="14">
      <c r="K168" s="46"/>
      <c r="L168" s="46"/>
      <c r="M168" s="46"/>
      <c r="N168" s="46"/>
    </row>
    <row r="169" spans="11:14" ht="14">
      <c r="K169" s="46"/>
      <c r="L169" s="46"/>
      <c r="M169" s="46"/>
      <c r="N169" s="46"/>
    </row>
    <row r="170" spans="11:14" ht="14">
      <c r="K170" s="46"/>
      <c r="L170" s="46"/>
      <c r="M170" s="46"/>
      <c r="N170" s="46"/>
    </row>
    <row r="171" spans="11:14" ht="14">
      <c r="K171" s="46"/>
      <c r="L171" s="46"/>
      <c r="M171" s="46"/>
      <c r="N171" s="46"/>
    </row>
    <row r="172" spans="11:14" ht="14">
      <c r="K172" s="46"/>
      <c r="L172" s="46"/>
      <c r="M172" s="46"/>
      <c r="N172" s="46"/>
    </row>
    <row r="173" spans="11:14" ht="14">
      <c r="K173" s="46"/>
      <c r="L173" s="46"/>
      <c r="M173" s="46"/>
      <c r="N173" s="46"/>
    </row>
    <row r="174" spans="11:14" ht="14">
      <c r="K174" s="46"/>
      <c r="L174" s="46"/>
      <c r="M174" s="46"/>
      <c r="N174" s="46"/>
    </row>
    <row r="175" spans="11:14" ht="14">
      <c r="K175" s="46"/>
      <c r="L175" s="46"/>
      <c r="M175" s="46"/>
      <c r="N175" s="46"/>
    </row>
    <row r="176" spans="11:14" ht="14">
      <c r="K176" s="46"/>
      <c r="L176" s="46"/>
      <c r="M176" s="46"/>
      <c r="N176" s="46"/>
    </row>
    <row r="177" spans="11:14" ht="14">
      <c r="K177" s="46"/>
      <c r="L177" s="46"/>
      <c r="M177" s="46"/>
      <c r="N177" s="46"/>
    </row>
    <row r="178" spans="11:14" ht="14">
      <c r="K178" s="46"/>
      <c r="L178" s="46"/>
      <c r="M178" s="46"/>
      <c r="N178" s="46"/>
    </row>
    <row r="179" spans="11:14" ht="14">
      <c r="K179" s="46"/>
      <c r="L179" s="46"/>
      <c r="M179" s="46"/>
      <c r="N179" s="46"/>
    </row>
    <row r="180" spans="11:14" ht="14">
      <c r="K180" s="46"/>
      <c r="L180" s="46"/>
      <c r="M180" s="46"/>
      <c r="N180" s="46"/>
    </row>
    <row r="181" spans="11:14" ht="14">
      <c r="K181" s="46"/>
      <c r="L181" s="46"/>
      <c r="M181" s="46"/>
      <c r="N181" s="46"/>
    </row>
    <row r="182" spans="11:14" ht="14">
      <c r="K182" s="46"/>
      <c r="L182" s="46"/>
      <c r="M182" s="46"/>
      <c r="N182" s="46"/>
    </row>
    <row r="183" spans="11:14" ht="14">
      <c r="K183" s="46"/>
      <c r="L183" s="46"/>
      <c r="M183" s="46"/>
      <c r="N183" s="46"/>
    </row>
    <row r="184" spans="11:14" ht="14">
      <c r="K184" s="46"/>
      <c r="L184" s="46"/>
      <c r="M184" s="46"/>
      <c r="N184" s="46"/>
    </row>
    <row r="185" spans="11:14" ht="14">
      <c r="K185" s="46"/>
      <c r="L185" s="46"/>
      <c r="M185" s="46"/>
      <c r="N185" s="46"/>
    </row>
    <row r="186" spans="11:14" ht="14">
      <c r="K186" s="46"/>
      <c r="L186" s="46"/>
      <c r="M186" s="46"/>
      <c r="N186" s="46"/>
    </row>
    <row r="187" spans="11:14" ht="14">
      <c r="K187" s="46"/>
      <c r="L187" s="46"/>
      <c r="M187" s="46"/>
      <c r="N187" s="46"/>
    </row>
    <row r="188" spans="11:14" ht="14">
      <c r="K188" s="46"/>
      <c r="L188" s="46"/>
      <c r="M188" s="46"/>
      <c r="N188" s="46"/>
    </row>
    <row r="189" spans="11:14" ht="14">
      <c r="K189" s="46"/>
      <c r="L189" s="46"/>
      <c r="M189" s="46"/>
      <c r="N189" s="46"/>
    </row>
    <row r="190" spans="11:14" ht="14">
      <c r="K190" s="46"/>
      <c r="L190" s="46"/>
      <c r="M190" s="46"/>
      <c r="N190" s="46"/>
    </row>
    <row r="191" spans="11:14" ht="14">
      <c r="K191" s="46"/>
      <c r="L191" s="46"/>
      <c r="M191" s="46"/>
      <c r="N191" s="46"/>
    </row>
    <row r="192" spans="11:14" ht="14">
      <c r="K192" s="46"/>
      <c r="L192" s="46"/>
      <c r="M192" s="46"/>
      <c r="N192" s="46"/>
    </row>
    <row r="193" spans="11:14" ht="14">
      <c r="K193" s="46"/>
      <c r="L193" s="46"/>
      <c r="M193" s="46"/>
      <c r="N193" s="46"/>
    </row>
    <row r="194" spans="11:14" ht="14">
      <c r="K194" s="46"/>
      <c r="L194" s="46"/>
      <c r="M194" s="46"/>
      <c r="N194" s="46"/>
    </row>
    <row r="195" spans="11:14" ht="14">
      <c r="K195" s="46"/>
      <c r="L195" s="46"/>
      <c r="M195" s="46"/>
      <c r="N195" s="46"/>
    </row>
    <row r="196" spans="11:14" ht="14">
      <c r="K196" s="46"/>
      <c r="L196" s="46"/>
      <c r="M196" s="46"/>
      <c r="N196" s="46"/>
    </row>
    <row r="197" spans="11:14" ht="14">
      <c r="K197" s="46"/>
      <c r="L197" s="46"/>
      <c r="M197" s="46"/>
      <c r="N197" s="46"/>
    </row>
    <row r="198" spans="11:14" ht="14">
      <c r="K198" s="46"/>
      <c r="L198" s="46"/>
      <c r="M198" s="46"/>
      <c r="N198" s="46"/>
    </row>
    <row r="199" spans="11:14" ht="14">
      <c r="K199" s="46"/>
      <c r="L199" s="46"/>
      <c r="M199" s="46"/>
      <c r="N199" s="46"/>
    </row>
    <row r="200" spans="11:14" ht="14">
      <c r="K200" s="46"/>
      <c r="L200" s="46"/>
      <c r="M200" s="46"/>
      <c r="N200" s="46"/>
    </row>
    <row r="201" spans="11:14" ht="14">
      <c r="K201" s="46"/>
      <c r="L201" s="46"/>
      <c r="M201" s="46"/>
      <c r="N201" s="46"/>
    </row>
    <row r="202" spans="11:14" ht="14">
      <c r="K202" s="46"/>
      <c r="L202" s="46"/>
      <c r="M202" s="46"/>
      <c r="N202" s="46"/>
    </row>
    <row r="203" spans="11:14" ht="14">
      <c r="K203" s="46"/>
      <c r="L203" s="46"/>
      <c r="M203" s="46"/>
      <c r="N203" s="46"/>
    </row>
    <row r="204" spans="11:14" ht="14">
      <c r="K204" s="46"/>
      <c r="L204" s="46"/>
      <c r="M204" s="46"/>
      <c r="N204" s="46"/>
    </row>
    <row r="205" spans="11:14" ht="14">
      <c r="K205" s="46"/>
      <c r="L205" s="46"/>
      <c r="M205" s="46"/>
      <c r="N205" s="46"/>
    </row>
    <row r="206" spans="11:14" ht="14">
      <c r="K206" s="46"/>
      <c r="L206" s="46"/>
      <c r="M206" s="46"/>
      <c r="N206" s="46"/>
    </row>
    <row r="207" spans="11:14" ht="14">
      <c r="K207" s="46"/>
      <c r="L207" s="46"/>
      <c r="M207" s="46"/>
      <c r="N207" s="46"/>
    </row>
    <row r="208" spans="11:14" ht="14">
      <c r="K208" s="46"/>
      <c r="L208" s="46"/>
      <c r="M208" s="46"/>
      <c r="N208" s="46"/>
    </row>
    <row r="209" spans="11:14" ht="14">
      <c r="K209" s="46"/>
      <c r="L209" s="46"/>
      <c r="M209" s="46"/>
      <c r="N209" s="46"/>
    </row>
    <row r="210" spans="11:14" ht="14">
      <c r="K210" s="46"/>
      <c r="L210" s="46"/>
      <c r="M210" s="46"/>
      <c r="N210" s="46"/>
    </row>
    <row r="211" spans="11:14" ht="14">
      <c r="K211" s="46"/>
      <c r="L211" s="46"/>
      <c r="M211" s="46"/>
      <c r="N211" s="46"/>
    </row>
    <row r="212" spans="11:14" ht="14">
      <c r="K212" s="46"/>
      <c r="L212" s="46"/>
      <c r="M212" s="46"/>
      <c r="N212" s="46"/>
    </row>
    <row r="213" spans="11:14" ht="14">
      <c r="K213" s="46"/>
      <c r="L213" s="46"/>
      <c r="M213" s="46"/>
      <c r="N213" s="46"/>
    </row>
    <row r="214" spans="11:14" ht="14">
      <c r="K214" s="46"/>
      <c r="L214" s="46"/>
      <c r="M214" s="46"/>
      <c r="N214" s="46"/>
    </row>
    <row r="215" spans="11:14" ht="14">
      <c r="K215" s="46"/>
      <c r="L215" s="46"/>
      <c r="M215" s="46"/>
      <c r="N215" s="46"/>
    </row>
    <row r="216" spans="11:14" ht="14">
      <c r="K216" s="46"/>
      <c r="L216" s="46"/>
      <c r="M216" s="46"/>
      <c r="N216" s="46"/>
    </row>
    <row r="217" spans="11:14" ht="14">
      <c r="K217" s="46"/>
      <c r="L217" s="46"/>
      <c r="M217" s="46"/>
      <c r="N217" s="46"/>
    </row>
    <row r="218" spans="11:14" ht="14">
      <c r="K218" s="46"/>
      <c r="L218" s="46"/>
      <c r="M218" s="46"/>
      <c r="N218" s="46"/>
    </row>
    <row r="219" spans="11:14" ht="14">
      <c r="K219" s="46"/>
      <c r="L219" s="46"/>
      <c r="M219" s="46"/>
      <c r="N219" s="46"/>
    </row>
    <row r="220" spans="11:14" ht="14">
      <c r="K220" s="46"/>
      <c r="L220" s="46"/>
      <c r="M220" s="46"/>
      <c r="N220" s="46"/>
    </row>
    <row r="221" spans="11:14" ht="14">
      <c r="K221" s="46"/>
      <c r="L221" s="46"/>
      <c r="M221" s="46"/>
      <c r="N221" s="46"/>
    </row>
    <row r="222" spans="11:14" ht="14">
      <c r="K222" s="46"/>
      <c r="L222" s="46"/>
      <c r="M222" s="46"/>
      <c r="N222" s="46"/>
    </row>
    <row r="223" spans="11:14" ht="14">
      <c r="K223" s="46"/>
      <c r="L223" s="46"/>
      <c r="M223" s="46"/>
      <c r="N223" s="46"/>
    </row>
    <row r="224" spans="11:14" ht="14">
      <c r="K224" s="46"/>
      <c r="L224" s="46"/>
      <c r="M224" s="46"/>
      <c r="N224" s="46"/>
    </row>
    <row r="225" spans="11:14" ht="14">
      <c r="K225" s="46"/>
      <c r="L225" s="46"/>
      <c r="M225" s="46"/>
      <c r="N225" s="46"/>
    </row>
    <row r="226" spans="11:14" ht="14">
      <c r="K226" s="46"/>
      <c r="L226" s="46"/>
      <c r="M226" s="46"/>
      <c r="N226" s="46"/>
    </row>
    <row r="227" spans="11:14" ht="14">
      <c r="K227" s="46"/>
      <c r="L227" s="46"/>
      <c r="M227" s="46"/>
      <c r="N227" s="46"/>
    </row>
    <row r="228" spans="11:14" ht="14">
      <c r="K228" s="46"/>
      <c r="L228" s="46"/>
      <c r="M228" s="46"/>
      <c r="N228" s="46"/>
    </row>
    <row r="229" spans="11:14" ht="14">
      <c r="K229" s="46"/>
      <c r="L229" s="46"/>
      <c r="M229" s="46"/>
      <c r="N229" s="46"/>
    </row>
    <row r="230" spans="11:14" ht="14">
      <c r="K230" s="46"/>
      <c r="L230" s="46"/>
      <c r="M230" s="46"/>
      <c r="N230" s="46"/>
    </row>
    <row r="231" spans="11:14" ht="14">
      <c r="K231" s="46"/>
      <c r="L231" s="46"/>
      <c r="M231" s="46"/>
      <c r="N231" s="46"/>
    </row>
    <row r="232" spans="11:14" ht="14">
      <c r="K232" s="46"/>
      <c r="L232" s="46"/>
      <c r="M232" s="46"/>
      <c r="N232" s="46"/>
    </row>
    <row r="233" spans="11:14" ht="14">
      <c r="K233" s="46"/>
      <c r="L233" s="46"/>
      <c r="M233" s="46"/>
      <c r="N233" s="46"/>
    </row>
    <row r="234" spans="11:14" ht="14">
      <c r="K234" s="46"/>
      <c r="L234" s="46"/>
      <c r="M234" s="46"/>
      <c r="N234" s="46"/>
    </row>
    <row r="235" spans="11:14" ht="14">
      <c r="K235" s="46"/>
      <c r="L235" s="46"/>
      <c r="M235" s="46"/>
      <c r="N235" s="46"/>
    </row>
    <row r="236" spans="11:14" ht="14">
      <c r="K236" s="46"/>
      <c r="L236" s="46"/>
      <c r="M236" s="46"/>
      <c r="N236" s="46"/>
    </row>
    <row r="237" spans="11:14" ht="14">
      <c r="K237" s="46"/>
      <c r="L237" s="46"/>
      <c r="M237" s="46"/>
      <c r="N237" s="46"/>
    </row>
    <row r="238" spans="11:14" ht="14">
      <c r="K238" s="46"/>
      <c r="L238" s="46"/>
      <c r="M238" s="46"/>
      <c r="N238" s="46"/>
    </row>
    <row r="239" spans="11:14" ht="14">
      <c r="K239" s="46"/>
      <c r="L239" s="46"/>
      <c r="M239" s="46"/>
      <c r="N239" s="46"/>
    </row>
    <row r="240" spans="11:14" ht="14">
      <c r="K240" s="46"/>
      <c r="L240" s="46"/>
      <c r="M240" s="46"/>
      <c r="N240" s="46"/>
    </row>
    <row r="241" spans="11:14" ht="14">
      <c r="K241" s="46"/>
      <c r="L241" s="46"/>
      <c r="M241" s="46"/>
      <c r="N241" s="46"/>
    </row>
    <row r="242" spans="11:14" ht="14">
      <c r="K242" s="46"/>
      <c r="L242" s="46"/>
      <c r="M242" s="46"/>
      <c r="N242" s="46"/>
    </row>
    <row r="243" spans="11:14" ht="14">
      <c r="K243" s="46"/>
      <c r="L243" s="46"/>
      <c r="M243" s="46"/>
      <c r="N243" s="46"/>
    </row>
    <row r="244" spans="11:14" ht="14">
      <c r="K244" s="46"/>
      <c r="L244" s="46"/>
      <c r="M244" s="46"/>
      <c r="N244" s="46"/>
    </row>
    <row r="245" spans="11:14" ht="14">
      <c r="K245" s="46"/>
      <c r="L245" s="46"/>
      <c r="M245" s="46"/>
      <c r="N245" s="46"/>
    </row>
    <row r="246" spans="11:14" ht="14">
      <c r="K246" s="46"/>
      <c r="L246" s="46"/>
      <c r="M246" s="46"/>
      <c r="N246" s="46"/>
    </row>
    <row r="247" spans="11:14" ht="14">
      <c r="K247" s="46"/>
      <c r="L247" s="46"/>
      <c r="M247" s="46"/>
      <c r="N247" s="46"/>
    </row>
    <row r="248" spans="11:14" ht="14">
      <c r="K248" s="46"/>
      <c r="L248" s="46"/>
      <c r="M248" s="46"/>
      <c r="N248" s="46"/>
    </row>
    <row r="249" spans="11:14" ht="14">
      <c r="K249" s="46"/>
      <c r="L249" s="46"/>
      <c r="M249" s="46"/>
      <c r="N249" s="46"/>
    </row>
    <row r="250" spans="11:14" ht="14">
      <c r="K250" s="46"/>
      <c r="L250" s="46"/>
      <c r="M250" s="46"/>
      <c r="N250" s="46"/>
    </row>
    <row r="251" spans="11:14" ht="14">
      <c r="K251" s="46"/>
      <c r="L251" s="46"/>
      <c r="M251" s="46"/>
      <c r="N251" s="46"/>
    </row>
    <row r="252" spans="11:14" ht="14">
      <c r="K252" s="46"/>
      <c r="L252" s="46"/>
      <c r="M252" s="46"/>
      <c r="N252" s="46"/>
    </row>
    <row r="253" spans="11:14" ht="14">
      <c r="K253" s="46"/>
      <c r="L253" s="46"/>
      <c r="M253" s="46"/>
      <c r="N253" s="46"/>
    </row>
    <row r="254" spans="11:14" ht="14">
      <c r="K254" s="46"/>
      <c r="L254" s="46"/>
      <c r="M254" s="46"/>
      <c r="N254" s="46"/>
    </row>
    <row r="255" spans="11:14" ht="14">
      <c r="K255" s="46"/>
      <c r="L255" s="46"/>
      <c r="M255" s="46"/>
      <c r="N255" s="46"/>
    </row>
    <row r="256" spans="11:14" ht="14">
      <c r="K256" s="46"/>
      <c r="L256" s="46"/>
      <c r="M256" s="46"/>
      <c r="N256" s="46"/>
    </row>
    <row r="257" spans="11:14" ht="14">
      <c r="K257" s="46"/>
      <c r="L257" s="46"/>
      <c r="M257" s="46"/>
      <c r="N257" s="46"/>
    </row>
    <row r="258" spans="11:14" ht="14">
      <c r="K258" s="46"/>
      <c r="L258" s="46"/>
      <c r="M258" s="46"/>
      <c r="N258" s="46"/>
    </row>
    <row r="259" spans="11:14" ht="14">
      <c r="K259" s="46"/>
      <c r="L259" s="46"/>
      <c r="M259" s="46"/>
      <c r="N259" s="46"/>
    </row>
    <row r="260" spans="11:14" ht="14">
      <c r="K260" s="46"/>
      <c r="L260" s="46"/>
      <c r="M260" s="46"/>
      <c r="N260" s="46"/>
    </row>
    <row r="261" spans="11:14" ht="14">
      <c r="K261" s="46"/>
      <c r="L261" s="46"/>
      <c r="M261" s="46"/>
      <c r="N261" s="46"/>
    </row>
    <row r="262" spans="11:14" ht="14">
      <c r="K262" s="46"/>
      <c r="L262" s="46"/>
      <c r="M262" s="46"/>
      <c r="N262" s="46"/>
    </row>
    <row r="263" spans="11:14" ht="14">
      <c r="K263" s="46"/>
      <c r="L263" s="46"/>
      <c r="M263" s="46"/>
      <c r="N263" s="46"/>
    </row>
    <row r="264" spans="11:14" ht="14">
      <c r="K264" s="46"/>
      <c r="L264" s="46"/>
      <c r="M264" s="46"/>
      <c r="N264" s="46"/>
    </row>
    <row r="265" spans="11:14" ht="14">
      <c r="K265" s="46"/>
      <c r="L265" s="46"/>
      <c r="M265" s="46"/>
      <c r="N265" s="46"/>
    </row>
    <row r="266" spans="11:14" ht="14">
      <c r="K266" s="46"/>
      <c r="L266" s="46"/>
      <c r="M266" s="46"/>
      <c r="N266" s="46"/>
    </row>
    <row r="267" spans="11:14" ht="14">
      <c r="K267" s="46"/>
      <c r="L267" s="46"/>
      <c r="M267" s="46"/>
      <c r="N267" s="46"/>
    </row>
    <row r="268" spans="11:14" ht="14">
      <c r="K268" s="46"/>
      <c r="L268" s="46"/>
      <c r="M268" s="46"/>
      <c r="N268" s="46"/>
    </row>
    <row r="269" spans="11:14" ht="14">
      <c r="K269" s="46"/>
      <c r="L269" s="46"/>
      <c r="M269" s="46"/>
      <c r="N269" s="46"/>
    </row>
    <row r="270" spans="11:14" ht="14">
      <c r="K270" s="46"/>
      <c r="L270" s="46"/>
      <c r="M270" s="46"/>
      <c r="N270" s="46"/>
    </row>
    <row r="271" spans="11:14" ht="14">
      <c r="K271" s="46"/>
      <c r="L271" s="46"/>
      <c r="M271" s="46"/>
      <c r="N271" s="46"/>
    </row>
    <row r="272" spans="11:14" ht="14">
      <c r="K272" s="46"/>
      <c r="L272" s="46"/>
      <c r="M272" s="46"/>
      <c r="N272" s="46"/>
    </row>
    <row r="273" spans="11:14" ht="14">
      <c r="K273" s="46"/>
      <c r="L273" s="46"/>
      <c r="M273" s="46"/>
      <c r="N273" s="46"/>
    </row>
    <row r="274" spans="11:14" ht="14">
      <c r="K274" s="46"/>
      <c r="L274" s="46"/>
      <c r="M274" s="46"/>
      <c r="N274" s="46"/>
    </row>
    <row r="275" spans="11:14" ht="14">
      <c r="K275" s="46"/>
      <c r="L275" s="46"/>
      <c r="M275" s="46"/>
      <c r="N275" s="46"/>
    </row>
    <row r="276" spans="11:14" ht="14">
      <c r="K276" s="46"/>
      <c r="L276" s="46"/>
      <c r="M276" s="46"/>
      <c r="N276" s="46"/>
    </row>
    <row r="277" spans="11:14" ht="14">
      <c r="K277" s="46"/>
      <c r="L277" s="46"/>
      <c r="M277" s="46"/>
      <c r="N277" s="46"/>
    </row>
    <row r="278" spans="11:14" ht="14">
      <c r="K278" s="46"/>
      <c r="L278" s="46"/>
      <c r="M278" s="46"/>
      <c r="N278" s="46"/>
    </row>
    <row r="279" spans="11:14" ht="14">
      <c r="K279" s="46"/>
      <c r="L279" s="46"/>
      <c r="M279" s="46"/>
      <c r="N279" s="46"/>
    </row>
    <row r="280" spans="11:14" ht="14">
      <c r="K280" s="46"/>
      <c r="L280" s="46"/>
      <c r="M280" s="46"/>
      <c r="N280" s="46"/>
    </row>
    <row r="281" spans="11:14" ht="14">
      <c r="K281" s="46"/>
      <c r="L281" s="46"/>
      <c r="M281" s="46"/>
      <c r="N281" s="46"/>
    </row>
    <row r="282" spans="11:14" ht="14">
      <c r="K282" s="46"/>
      <c r="L282" s="46"/>
      <c r="M282" s="46"/>
      <c r="N282" s="46"/>
    </row>
    <row r="283" spans="11:14" ht="14">
      <c r="K283" s="46"/>
      <c r="L283" s="46"/>
      <c r="M283" s="46"/>
      <c r="N283" s="46"/>
    </row>
    <row r="284" spans="11:14" ht="14">
      <c r="K284" s="46"/>
      <c r="L284" s="46"/>
      <c r="M284" s="46"/>
      <c r="N284" s="46"/>
    </row>
    <row r="285" spans="11:14" ht="14">
      <c r="K285" s="46"/>
      <c r="L285" s="46"/>
      <c r="M285" s="46"/>
      <c r="N285" s="46"/>
    </row>
    <row r="286" spans="11:14" ht="14">
      <c r="K286" s="46"/>
      <c r="L286" s="46"/>
      <c r="M286" s="46"/>
      <c r="N286" s="46"/>
    </row>
    <row r="287" spans="11:14" ht="14">
      <c r="K287" s="46"/>
      <c r="L287" s="46"/>
      <c r="M287" s="46"/>
      <c r="N287" s="46"/>
    </row>
    <row r="288" spans="11:14" ht="14">
      <c r="K288" s="46"/>
      <c r="L288" s="46"/>
      <c r="M288" s="46"/>
      <c r="N288" s="46"/>
    </row>
    <row r="289" spans="11:14" ht="14">
      <c r="K289" s="46"/>
      <c r="L289" s="46"/>
      <c r="M289" s="46"/>
      <c r="N289" s="46"/>
    </row>
    <row r="290" spans="11:14" ht="14">
      <c r="K290" s="46"/>
      <c r="L290" s="46"/>
      <c r="M290" s="46"/>
      <c r="N290" s="46"/>
    </row>
    <row r="291" spans="11:14" ht="14">
      <c r="K291" s="46"/>
      <c r="L291" s="46"/>
      <c r="M291" s="46"/>
      <c r="N291" s="46"/>
    </row>
    <row r="292" spans="11:14" ht="14">
      <c r="K292" s="46"/>
      <c r="L292" s="46"/>
      <c r="M292" s="46"/>
      <c r="N292" s="46"/>
    </row>
    <row r="293" spans="11:14" ht="14">
      <c r="K293" s="46"/>
      <c r="L293" s="46"/>
      <c r="M293" s="46"/>
      <c r="N293" s="46"/>
    </row>
    <row r="294" spans="11:14" ht="14">
      <c r="K294" s="46"/>
      <c r="L294" s="46"/>
      <c r="M294" s="46"/>
      <c r="N294" s="46"/>
    </row>
    <row r="295" spans="11:14" ht="14">
      <c r="K295" s="46"/>
      <c r="L295" s="46"/>
      <c r="M295" s="46"/>
      <c r="N295" s="46"/>
    </row>
    <row r="296" spans="11:14" ht="14">
      <c r="K296" s="46"/>
      <c r="L296" s="46"/>
      <c r="M296" s="46"/>
      <c r="N296" s="46"/>
    </row>
    <row r="297" spans="11:14" ht="14">
      <c r="K297" s="46"/>
      <c r="L297" s="46"/>
      <c r="M297" s="46"/>
      <c r="N297" s="46"/>
    </row>
    <row r="298" spans="11:14" ht="14">
      <c r="K298" s="46"/>
      <c r="L298" s="46"/>
      <c r="M298" s="46"/>
      <c r="N298" s="46"/>
    </row>
    <row r="299" spans="11:14" ht="14">
      <c r="K299" s="46"/>
      <c r="L299" s="46"/>
      <c r="M299" s="46"/>
      <c r="N299" s="46"/>
    </row>
    <row r="300" spans="11:14" ht="14">
      <c r="K300" s="46"/>
      <c r="L300" s="46"/>
      <c r="M300" s="46"/>
      <c r="N300" s="46"/>
    </row>
    <row r="301" spans="11:14" ht="14">
      <c r="K301" s="46"/>
      <c r="L301" s="46"/>
      <c r="M301" s="46"/>
      <c r="N301" s="46"/>
    </row>
    <row r="302" spans="11:14" ht="14">
      <c r="K302" s="46"/>
      <c r="L302" s="46"/>
      <c r="M302" s="46"/>
      <c r="N302" s="46"/>
    </row>
    <row r="303" spans="11:14" ht="14">
      <c r="K303" s="46"/>
      <c r="L303" s="46"/>
      <c r="M303" s="46"/>
      <c r="N303" s="46"/>
    </row>
    <row r="304" spans="11:14" ht="14">
      <c r="K304" s="46"/>
      <c r="L304" s="46"/>
      <c r="M304" s="46"/>
      <c r="N304" s="46"/>
    </row>
    <row r="305" spans="11:14" ht="14">
      <c r="K305" s="46"/>
      <c r="L305" s="46"/>
      <c r="M305" s="46"/>
      <c r="N305" s="46"/>
    </row>
    <row r="306" spans="11:14" ht="14">
      <c r="K306" s="46"/>
      <c r="L306" s="46"/>
      <c r="M306" s="46"/>
      <c r="N306" s="46"/>
    </row>
    <row r="307" spans="11:14" ht="14">
      <c r="K307" s="46"/>
      <c r="L307" s="46"/>
      <c r="M307" s="46"/>
      <c r="N307" s="46"/>
    </row>
    <row r="308" spans="11:14" ht="14">
      <c r="K308" s="46"/>
      <c r="L308" s="46"/>
      <c r="M308" s="46"/>
      <c r="N308" s="46"/>
    </row>
    <row r="309" spans="11:14" ht="14">
      <c r="K309" s="46"/>
      <c r="L309" s="46"/>
      <c r="M309" s="46"/>
      <c r="N309" s="46"/>
    </row>
    <row r="310" spans="11:14" ht="14">
      <c r="K310" s="46"/>
      <c r="L310" s="46"/>
      <c r="M310" s="46"/>
      <c r="N310" s="46"/>
    </row>
    <row r="311" spans="11:14" ht="14">
      <c r="K311" s="46"/>
      <c r="L311" s="46"/>
      <c r="M311" s="46"/>
      <c r="N311" s="46"/>
    </row>
    <row r="312" spans="11:14" ht="14">
      <c r="K312" s="46"/>
      <c r="L312" s="46"/>
      <c r="M312" s="46"/>
      <c r="N312" s="46"/>
    </row>
    <row r="313" spans="11:14" ht="14">
      <c r="K313" s="46"/>
      <c r="L313" s="46"/>
      <c r="M313" s="46"/>
      <c r="N313" s="46"/>
    </row>
    <row r="314" spans="11:14" ht="14">
      <c r="K314" s="46"/>
      <c r="L314" s="46"/>
      <c r="M314" s="46"/>
      <c r="N314" s="46"/>
    </row>
    <row r="315" spans="11:14" ht="14">
      <c r="K315" s="46"/>
      <c r="L315" s="46"/>
      <c r="M315" s="46"/>
      <c r="N315" s="46"/>
    </row>
    <row r="316" spans="11:14" ht="14">
      <c r="K316" s="46"/>
      <c r="L316" s="46"/>
      <c r="M316" s="46"/>
      <c r="N316" s="46"/>
    </row>
    <row r="317" spans="11:14" ht="14">
      <c r="K317" s="46"/>
      <c r="L317" s="46"/>
      <c r="M317" s="46"/>
      <c r="N317" s="46"/>
    </row>
    <row r="318" spans="11:14" ht="14">
      <c r="K318" s="46"/>
      <c r="L318" s="46"/>
      <c r="M318" s="46"/>
      <c r="N318" s="46"/>
    </row>
    <row r="319" spans="11:14" ht="14">
      <c r="K319" s="46"/>
      <c r="L319" s="46"/>
      <c r="M319" s="46"/>
      <c r="N319" s="46"/>
    </row>
    <row r="320" spans="11:14" ht="14">
      <c r="K320" s="46"/>
      <c r="L320" s="46"/>
      <c r="M320" s="46"/>
      <c r="N320" s="46"/>
    </row>
    <row r="321" spans="11:14" ht="14">
      <c r="K321" s="46"/>
      <c r="L321" s="46"/>
      <c r="M321" s="46"/>
      <c r="N321" s="46"/>
    </row>
    <row r="322" spans="11:14" ht="14">
      <c r="K322" s="46"/>
      <c r="L322" s="46"/>
      <c r="M322" s="46"/>
      <c r="N322" s="46"/>
    </row>
    <row r="323" spans="11:14" ht="14">
      <c r="K323" s="46"/>
      <c r="L323" s="46"/>
      <c r="M323" s="46"/>
      <c r="N323" s="46"/>
    </row>
    <row r="324" spans="11:14" ht="14">
      <c r="K324" s="46"/>
      <c r="L324" s="46"/>
      <c r="M324" s="46"/>
      <c r="N324" s="46"/>
    </row>
    <row r="325" spans="11:14" ht="14">
      <c r="K325" s="46"/>
      <c r="L325" s="46"/>
      <c r="M325" s="46"/>
      <c r="N325" s="46"/>
    </row>
    <row r="326" spans="11:14" ht="14">
      <c r="K326" s="46"/>
      <c r="L326" s="46"/>
      <c r="M326" s="46"/>
      <c r="N326" s="46"/>
    </row>
    <row r="327" spans="11:14" ht="14">
      <c r="K327" s="46"/>
      <c r="L327" s="46"/>
      <c r="M327" s="46"/>
      <c r="N327" s="46"/>
    </row>
    <row r="328" spans="11:14" ht="14">
      <c r="K328" s="46"/>
      <c r="L328" s="46"/>
      <c r="M328" s="46"/>
      <c r="N328" s="46"/>
    </row>
    <row r="329" spans="11:14" ht="14">
      <c r="K329" s="46"/>
      <c r="L329" s="46"/>
      <c r="M329" s="46"/>
      <c r="N329" s="46"/>
    </row>
    <row r="330" spans="11:14" ht="14">
      <c r="K330" s="46"/>
      <c r="L330" s="46"/>
      <c r="M330" s="46"/>
      <c r="N330" s="46"/>
    </row>
    <row r="331" spans="11:14" ht="14">
      <c r="K331" s="46"/>
      <c r="L331" s="46"/>
      <c r="M331" s="46"/>
      <c r="N331" s="46"/>
    </row>
    <row r="332" spans="11:14" ht="14">
      <c r="K332" s="46"/>
      <c r="L332" s="46"/>
      <c r="M332" s="46"/>
      <c r="N332" s="46"/>
    </row>
    <row r="333" spans="11:14" ht="14">
      <c r="K333" s="46"/>
      <c r="L333" s="46"/>
      <c r="M333" s="46"/>
      <c r="N333" s="46"/>
    </row>
    <row r="334" spans="11:14" ht="14">
      <c r="K334" s="46"/>
      <c r="L334" s="46"/>
      <c r="M334" s="46"/>
      <c r="N334" s="46"/>
    </row>
    <row r="335" spans="11:14" ht="14">
      <c r="K335" s="46"/>
      <c r="L335" s="46"/>
      <c r="M335" s="46"/>
      <c r="N335" s="46"/>
    </row>
    <row r="336" spans="11:14" ht="14">
      <c r="K336" s="46"/>
      <c r="L336" s="46"/>
      <c r="M336" s="46"/>
      <c r="N336" s="46"/>
    </row>
    <row r="337" spans="11:14" ht="14">
      <c r="K337" s="46"/>
      <c r="L337" s="46"/>
      <c r="M337" s="46"/>
      <c r="N337" s="46"/>
    </row>
    <row r="338" spans="11:14" ht="14">
      <c r="K338" s="46"/>
      <c r="L338" s="46"/>
      <c r="M338" s="46"/>
      <c r="N338" s="46"/>
    </row>
    <row r="339" spans="11:14" ht="14">
      <c r="K339" s="46"/>
      <c r="L339" s="46"/>
      <c r="M339" s="46"/>
      <c r="N339" s="46"/>
    </row>
    <row r="340" spans="11:14" ht="14">
      <c r="K340" s="46"/>
      <c r="L340" s="46"/>
      <c r="M340" s="46"/>
      <c r="N340" s="46"/>
    </row>
    <row r="341" spans="11:14" ht="14">
      <c r="K341" s="46"/>
      <c r="L341" s="46"/>
      <c r="M341" s="46"/>
      <c r="N341" s="46"/>
    </row>
    <row r="342" spans="11:14" ht="14">
      <c r="K342" s="46"/>
      <c r="L342" s="46"/>
      <c r="M342" s="46"/>
      <c r="N342" s="46"/>
    </row>
    <row r="343" spans="11:14" ht="14">
      <c r="K343" s="46"/>
      <c r="L343" s="46"/>
      <c r="M343" s="46"/>
      <c r="N343" s="46"/>
    </row>
    <row r="344" spans="11:14" ht="14">
      <c r="K344" s="46"/>
      <c r="L344" s="46"/>
      <c r="M344" s="46"/>
      <c r="N344" s="46"/>
    </row>
    <row r="345" spans="11:14" ht="14">
      <c r="K345" s="46"/>
      <c r="L345" s="46"/>
      <c r="M345" s="46"/>
      <c r="N345" s="46"/>
    </row>
    <row r="346" spans="11:14" ht="14">
      <c r="K346" s="46"/>
      <c r="L346" s="46"/>
      <c r="M346" s="46"/>
      <c r="N346" s="46"/>
    </row>
    <row r="347" spans="11:14" ht="14">
      <c r="K347" s="46"/>
      <c r="L347" s="46"/>
      <c r="M347" s="46"/>
      <c r="N347" s="46"/>
    </row>
    <row r="348" spans="11:14" ht="14">
      <c r="K348" s="46"/>
      <c r="L348" s="46"/>
      <c r="M348" s="46"/>
      <c r="N348" s="46"/>
    </row>
    <row r="349" spans="11:14" ht="14">
      <c r="K349" s="46"/>
      <c r="L349" s="46"/>
      <c r="M349" s="46"/>
      <c r="N349" s="46"/>
    </row>
    <row r="350" spans="11:14" ht="14">
      <c r="K350" s="46"/>
      <c r="L350" s="46"/>
      <c r="M350" s="46"/>
      <c r="N350" s="46"/>
    </row>
    <row r="351" spans="11:14" ht="14">
      <c r="K351" s="46"/>
      <c r="L351" s="46"/>
      <c r="M351" s="46"/>
      <c r="N351" s="46"/>
    </row>
    <row r="352" spans="11:14" ht="14">
      <c r="K352" s="46"/>
      <c r="L352" s="46"/>
      <c r="M352" s="46"/>
      <c r="N352" s="46"/>
    </row>
    <row r="353" spans="11:14" ht="14">
      <c r="K353" s="46"/>
      <c r="L353" s="46"/>
      <c r="M353" s="46"/>
      <c r="N353" s="46"/>
    </row>
    <row r="354" spans="11:14" ht="14">
      <c r="K354" s="46"/>
      <c r="L354" s="46"/>
      <c r="M354" s="46"/>
      <c r="N354" s="46"/>
    </row>
    <row r="355" spans="11:14" ht="14">
      <c r="K355" s="46"/>
      <c r="L355" s="46"/>
      <c r="M355" s="46"/>
      <c r="N355" s="46"/>
    </row>
    <row r="356" spans="11:14" ht="14">
      <c r="K356" s="46"/>
      <c r="L356" s="46"/>
      <c r="M356" s="46"/>
      <c r="N356" s="46"/>
    </row>
    <row r="357" spans="11:14" ht="14">
      <c r="K357" s="46"/>
      <c r="L357" s="46"/>
      <c r="M357" s="46"/>
      <c r="N357" s="46"/>
    </row>
    <row r="358" spans="11:14" ht="14">
      <c r="K358" s="46"/>
      <c r="L358" s="46"/>
      <c r="M358" s="46"/>
      <c r="N358" s="46"/>
    </row>
    <row r="359" spans="11:14" ht="14">
      <c r="K359" s="46"/>
      <c r="L359" s="46"/>
      <c r="M359" s="46"/>
      <c r="N359" s="46"/>
    </row>
    <row r="360" spans="11:14" ht="14">
      <c r="K360" s="46"/>
      <c r="L360" s="46"/>
      <c r="M360" s="46"/>
      <c r="N360" s="46"/>
    </row>
    <row r="361" spans="11:14" ht="14">
      <c r="K361" s="46"/>
      <c r="L361" s="46"/>
      <c r="M361" s="46"/>
      <c r="N361" s="46"/>
    </row>
    <row r="362" spans="11:14" ht="14">
      <c r="K362" s="46"/>
      <c r="L362" s="46"/>
      <c r="M362" s="46"/>
      <c r="N362" s="46"/>
    </row>
    <row r="363" spans="11:14" ht="14">
      <c r="K363" s="46"/>
      <c r="L363" s="46"/>
      <c r="M363" s="46"/>
      <c r="N363" s="46"/>
    </row>
    <row r="364" spans="11:14" ht="14">
      <c r="K364" s="46"/>
      <c r="L364" s="46"/>
      <c r="M364" s="46"/>
      <c r="N364" s="46"/>
    </row>
    <row r="365" spans="11:14" ht="14">
      <c r="K365" s="46"/>
      <c r="L365" s="46"/>
      <c r="M365" s="46"/>
      <c r="N365" s="46"/>
    </row>
    <row r="366" spans="11:14" ht="14">
      <c r="K366" s="46"/>
      <c r="L366" s="46"/>
      <c r="M366" s="46"/>
      <c r="N366" s="46"/>
    </row>
    <row r="367" spans="11:14" ht="14">
      <c r="K367" s="46"/>
      <c r="L367" s="46"/>
      <c r="M367" s="46"/>
      <c r="N367" s="46"/>
    </row>
    <row r="368" spans="11:14" ht="14">
      <c r="K368" s="46"/>
      <c r="L368" s="46"/>
      <c r="M368" s="46"/>
      <c r="N368" s="46"/>
    </row>
    <row r="369" spans="11:14" ht="14">
      <c r="K369" s="46"/>
      <c r="L369" s="46"/>
      <c r="M369" s="46"/>
      <c r="N369" s="46"/>
    </row>
    <row r="370" spans="11:14" ht="14">
      <c r="K370" s="46"/>
      <c r="L370" s="46"/>
      <c r="M370" s="46"/>
      <c r="N370" s="46"/>
    </row>
    <row r="371" spans="11:14" ht="14">
      <c r="K371" s="46"/>
      <c r="L371" s="46"/>
      <c r="M371" s="46"/>
      <c r="N371" s="46"/>
    </row>
    <row r="372" spans="11:14" ht="14">
      <c r="K372" s="46"/>
      <c r="L372" s="46"/>
      <c r="M372" s="46"/>
      <c r="N372" s="46"/>
    </row>
    <row r="373" spans="11:14" ht="14">
      <c r="K373" s="46"/>
      <c r="L373" s="46"/>
      <c r="M373" s="46"/>
      <c r="N373" s="46"/>
    </row>
    <row r="374" spans="11:14" ht="14">
      <c r="K374" s="46"/>
      <c r="L374" s="46"/>
      <c r="M374" s="46"/>
      <c r="N374" s="46"/>
    </row>
    <row r="375" spans="11:14" ht="14">
      <c r="K375" s="46"/>
      <c r="L375" s="46"/>
      <c r="M375" s="46"/>
      <c r="N375" s="46"/>
    </row>
    <row r="376" spans="11:14" ht="14">
      <c r="K376" s="46"/>
      <c r="L376" s="46"/>
      <c r="M376" s="46"/>
      <c r="N376" s="46"/>
    </row>
    <row r="377" spans="11:14" ht="14">
      <c r="K377" s="46"/>
      <c r="L377" s="46"/>
      <c r="M377" s="46"/>
      <c r="N377" s="46"/>
    </row>
    <row r="378" spans="11:14" ht="14">
      <c r="K378" s="46"/>
      <c r="L378" s="46"/>
      <c r="M378" s="46"/>
      <c r="N378" s="46"/>
    </row>
    <row r="379" spans="11:14" ht="14">
      <c r="K379" s="46"/>
      <c r="L379" s="46"/>
      <c r="M379" s="46"/>
      <c r="N379" s="46"/>
    </row>
    <row r="380" spans="11:14" ht="14">
      <c r="K380" s="46"/>
      <c r="L380" s="46"/>
      <c r="M380" s="46"/>
      <c r="N380" s="46"/>
    </row>
    <row r="381" spans="11:14" ht="14">
      <c r="K381" s="46"/>
      <c r="L381" s="46"/>
      <c r="M381" s="46"/>
      <c r="N381" s="46"/>
    </row>
    <row r="382" spans="11:14" ht="14">
      <c r="K382" s="46"/>
      <c r="L382" s="46"/>
      <c r="M382" s="46"/>
      <c r="N382" s="46"/>
    </row>
    <row r="383" spans="11:14" ht="14">
      <c r="K383" s="46"/>
      <c r="L383" s="46"/>
      <c r="M383" s="46"/>
      <c r="N383" s="46"/>
    </row>
    <row r="384" spans="11:14" ht="14">
      <c r="K384" s="46"/>
      <c r="L384" s="46"/>
      <c r="M384" s="46"/>
      <c r="N384" s="46"/>
    </row>
    <row r="385" spans="11:14" ht="14">
      <c r="K385" s="46"/>
      <c r="L385" s="46"/>
      <c r="M385" s="46"/>
      <c r="N385" s="46"/>
    </row>
    <row r="386" spans="11:14" ht="14">
      <c r="K386" s="46"/>
      <c r="L386" s="46"/>
      <c r="M386" s="46"/>
      <c r="N386" s="46"/>
    </row>
    <row r="387" spans="11:14" ht="14">
      <c r="K387" s="46"/>
      <c r="L387" s="46"/>
      <c r="M387" s="46"/>
      <c r="N387" s="46"/>
    </row>
    <row r="388" spans="11:14" ht="14">
      <c r="K388" s="46"/>
      <c r="L388" s="46"/>
      <c r="M388" s="46"/>
      <c r="N388" s="46"/>
    </row>
    <row r="389" spans="11:14" ht="14">
      <c r="K389" s="46"/>
      <c r="L389" s="46"/>
      <c r="M389" s="46"/>
      <c r="N389" s="46"/>
    </row>
    <row r="390" spans="11:14" ht="14">
      <c r="K390" s="46"/>
      <c r="L390" s="46"/>
      <c r="M390" s="46"/>
      <c r="N390" s="46"/>
    </row>
    <row r="391" spans="11:14" ht="14">
      <c r="K391" s="46"/>
      <c r="L391" s="46"/>
      <c r="M391" s="46"/>
      <c r="N391" s="46"/>
    </row>
    <row r="392" spans="11:14" ht="14">
      <c r="K392" s="46"/>
      <c r="L392" s="46"/>
      <c r="M392" s="46"/>
      <c r="N392" s="46"/>
    </row>
    <row r="393" spans="11:14" ht="14">
      <c r="K393" s="46"/>
      <c r="L393" s="46"/>
      <c r="M393" s="46"/>
      <c r="N393" s="46"/>
    </row>
    <row r="394" spans="11:14" ht="14">
      <c r="K394" s="46"/>
      <c r="L394" s="46"/>
      <c r="M394" s="46"/>
      <c r="N394" s="46"/>
    </row>
    <row r="395" spans="11:14" ht="14">
      <c r="K395" s="46"/>
      <c r="L395" s="46"/>
      <c r="M395" s="46"/>
      <c r="N395" s="46"/>
    </row>
    <row r="396" spans="11:14" ht="14">
      <c r="K396" s="46"/>
      <c r="L396" s="46"/>
      <c r="M396" s="46"/>
      <c r="N396" s="46"/>
    </row>
    <row r="397" spans="11:14" ht="14">
      <c r="K397" s="46"/>
      <c r="L397" s="46"/>
      <c r="M397" s="46"/>
      <c r="N397" s="46"/>
    </row>
    <row r="398" spans="11:14" ht="14">
      <c r="K398" s="46"/>
      <c r="L398" s="46"/>
      <c r="M398" s="46"/>
      <c r="N398" s="46"/>
    </row>
    <row r="399" spans="11:14" ht="14">
      <c r="K399" s="46"/>
      <c r="L399" s="46"/>
      <c r="M399" s="46"/>
      <c r="N399" s="46"/>
    </row>
    <row r="400" spans="11:14" ht="14">
      <c r="K400" s="46"/>
      <c r="L400" s="46"/>
      <c r="M400" s="46"/>
      <c r="N400" s="46"/>
    </row>
    <row r="401" spans="11:14" ht="14">
      <c r="K401" s="46"/>
      <c r="L401" s="46"/>
      <c r="M401" s="46"/>
      <c r="N401" s="46"/>
    </row>
    <row r="402" spans="11:14" ht="14">
      <c r="K402" s="46"/>
      <c r="L402" s="46"/>
      <c r="M402" s="46"/>
      <c r="N402" s="46"/>
    </row>
    <row r="403" spans="11:14" ht="14">
      <c r="K403" s="46"/>
      <c r="L403" s="46"/>
      <c r="M403" s="46"/>
      <c r="N403" s="46"/>
    </row>
    <row r="404" spans="11:14" ht="14">
      <c r="K404" s="46"/>
      <c r="L404" s="46"/>
      <c r="M404" s="46"/>
      <c r="N404" s="46"/>
    </row>
    <row r="405" spans="11:14" ht="14">
      <c r="K405" s="46"/>
      <c r="L405" s="46"/>
      <c r="M405" s="46"/>
      <c r="N405" s="46"/>
    </row>
    <row r="406" spans="11:14" ht="14">
      <c r="K406" s="46"/>
      <c r="L406" s="46"/>
      <c r="M406" s="46"/>
      <c r="N406" s="46"/>
    </row>
    <row r="407" spans="11:14" ht="14">
      <c r="K407" s="46"/>
      <c r="L407" s="46"/>
      <c r="M407" s="46"/>
      <c r="N407" s="46"/>
    </row>
    <row r="408" spans="11:14" ht="14">
      <c r="K408" s="46"/>
      <c r="L408" s="46"/>
      <c r="M408" s="46"/>
      <c r="N408" s="46"/>
    </row>
    <row r="409" spans="11:14" ht="14">
      <c r="K409" s="46"/>
      <c r="L409" s="46"/>
      <c r="M409" s="46"/>
      <c r="N409" s="46"/>
    </row>
    <row r="410" spans="11:14" ht="14">
      <c r="K410" s="46"/>
      <c r="L410" s="46"/>
      <c r="M410" s="46"/>
      <c r="N410" s="46"/>
    </row>
    <row r="411" spans="11:14" ht="14">
      <c r="K411" s="46"/>
      <c r="L411" s="46"/>
      <c r="M411" s="46"/>
      <c r="N411" s="46"/>
    </row>
    <row r="412" spans="11:14" ht="14">
      <c r="K412" s="46"/>
      <c r="L412" s="46"/>
      <c r="M412" s="46"/>
      <c r="N412" s="46"/>
    </row>
    <row r="413" spans="11:14" ht="14">
      <c r="K413" s="46"/>
      <c r="L413" s="46"/>
      <c r="M413" s="46"/>
      <c r="N413" s="46"/>
    </row>
    <row r="414" spans="11:14" ht="14">
      <c r="K414" s="46"/>
      <c r="L414" s="46"/>
      <c r="M414" s="46"/>
      <c r="N414" s="46"/>
    </row>
    <row r="415" spans="11:14" ht="14">
      <c r="K415" s="46"/>
      <c r="L415" s="46"/>
      <c r="M415" s="46"/>
      <c r="N415" s="46"/>
    </row>
    <row r="416" spans="11:14" ht="14">
      <c r="K416" s="46"/>
      <c r="L416" s="46"/>
      <c r="M416" s="46"/>
      <c r="N416" s="46"/>
    </row>
    <row r="417" spans="11:14" ht="14">
      <c r="K417" s="46"/>
      <c r="L417" s="46"/>
      <c r="M417" s="46"/>
      <c r="N417" s="46"/>
    </row>
    <row r="418" spans="11:14" ht="14">
      <c r="K418" s="46"/>
      <c r="L418" s="46"/>
      <c r="M418" s="46"/>
      <c r="N418" s="46"/>
    </row>
    <row r="419" spans="11:14" ht="14">
      <c r="K419" s="46"/>
      <c r="L419" s="46"/>
      <c r="M419" s="46"/>
      <c r="N419" s="46"/>
    </row>
    <row r="420" spans="11:14" ht="14">
      <c r="K420" s="46"/>
      <c r="L420" s="46"/>
      <c r="M420" s="46"/>
      <c r="N420" s="46"/>
    </row>
    <row r="421" spans="11:14" ht="14">
      <c r="K421" s="46"/>
      <c r="L421" s="46"/>
      <c r="M421" s="46"/>
      <c r="N421" s="46"/>
    </row>
    <row r="422" spans="11:14" ht="14">
      <c r="K422" s="46"/>
      <c r="L422" s="46"/>
      <c r="M422" s="46"/>
      <c r="N422" s="46"/>
    </row>
    <row r="423" spans="11:14" ht="14">
      <c r="K423" s="46"/>
      <c r="L423" s="46"/>
      <c r="M423" s="46"/>
      <c r="N423" s="46"/>
    </row>
    <row r="424" spans="11:14" ht="14">
      <c r="K424" s="46"/>
      <c r="L424" s="46"/>
      <c r="M424" s="46"/>
      <c r="N424" s="46"/>
    </row>
    <row r="425" spans="11:14" ht="14">
      <c r="K425" s="46"/>
      <c r="L425" s="46"/>
      <c r="M425" s="46"/>
      <c r="N425" s="46"/>
    </row>
    <row r="426" spans="11:14" ht="14">
      <c r="K426" s="46"/>
      <c r="L426" s="46"/>
      <c r="M426" s="46"/>
      <c r="N426" s="46"/>
    </row>
    <row r="427" spans="11:14" ht="14">
      <c r="K427" s="46"/>
      <c r="L427" s="46"/>
      <c r="M427" s="46"/>
      <c r="N427" s="46"/>
    </row>
    <row r="428" spans="11:14" ht="14">
      <c r="K428" s="46"/>
      <c r="L428" s="46"/>
      <c r="M428" s="46"/>
      <c r="N428" s="46"/>
    </row>
    <row r="429" spans="11:14" ht="14">
      <c r="K429" s="46"/>
      <c r="L429" s="46"/>
      <c r="M429" s="46"/>
      <c r="N429" s="46"/>
    </row>
    <row r="430" spans="11:14" ht="14">
      <c r="K430" s="46"/>
      <c r="L430" s="46"/>
      <c r="M430" s="46"/>
      <c r="N430" s="46"/>
    </row>
    <row r="431" spans="11:14" ht="14">
      <c r="K431" s="46"/>
      <c r="L431" s="46"/>
      <c r="M431" s="46"/>
      <c r="N431" s="46"/>
    </row>
    <row r="432" spans="11:14" ht="14">
      <c r="K432" s="46"/>
      <c r="L432" s="46"/>
      <c r="M432" s="46"/>
      <c r="N432" s="46"/>
    </row>
    <row r="433" spans="11:14" ht="14">
      <c r="K433" s="46"/>
      <c r="L433" s="46"/>
      <c r="M433" s="46"/>
      <c r="N433" s="46"/>
    </row>
    <row r="434" spans="11:14" ht="14">
      <c r="K434" s="46"/>
      <c r="L434" s="46"/>
      <c r="M434" s="46"/>
      <c r="N434" s="46"/>
    </row>
    <row r="435" spans="11:14" ht="14">
      <c r="K435" s="46"/>
      <c r="L435" s="46"/>
      <c r="M435" s="46"/>
      <c r="N435" s="46"/>
    </row>
    <row r="436" spans="11:14" ht="14">
      <c r="K436" s="46"/>
      <c r="L436" s="46"/>
      <c r="M436" s="46"/>
      <c r="N436" s="46"/>
    </row>
    <row r="437" spans="11:14" ht="14">
      <c r="K437" s="46"/>
      <c r="L437" s="46"/>
      <c r="M437" s="46"/>
      <c r="N437" s="46"/>
    </row>
    <row r="438" spans="11:14" ht="14">
      <c r="K438" s="46"/>
      <c r="L438" s="46"/>
      <c r="M438" s="46"/>
      <c r="N438" s="46"/>
    </row>
    <row r="439" spans="11:14" ht="14">
      <c r="K439" s="46"/>
      <c r="L439" s="46"/>
      <c r="M439" s="46"/>
      <c r="N439" s="46"/>
    </row>
    <row r="440" spans="11:14" ht="14">
      <c r="K440" s="46"/>
      <c r="L440" s="46"/>
      <c r="M440" s="46"/>
      <c r="N440" s="46"/>
    </row>
    <row r="441" spans="11:14" ht="14">
      <c r="K441" s="46"/>
      <c r="L441" s="46"/>
      <c r="M441" s="46"/>
      <c r="N441" s="46"/>
    </row>
    <row r="442" spans="11:14" ht="14">
      <c r="K442" s="46"/>
      <c r="L442" s="46"/>
      <c r="M442" s="46"/>
      <c r="N442" s="46"/>
    </row>
    <row r="443" spans="11:14" ht="14">
      <c r="K443" s="46"/>
      <c r="L443" s="46"/>
      <c r="M443" s="46"/>
      <c r="N443" s="46"/>
    </row>
    <row r="444" spans="11:14" ht="14">
      <c r="K444" s="46"/>
      <c r="L444" s="46"/>
      <c r="M444" s="46"/>
      <c r="N444" s="46"/>
    </row>
    <row r="445" spans="11:14" ht="14">
      <c r="K445" s="46"/>
      <c r="L445" s="46"/>
      <c r="M445" s="46"/>
      <c r="N445" s="46"/>
    </row>
    <row r="446" spans="11:14" ht="14">
      <c r="K446" s="46"/>
      <c r="L446" s="46"/>
      <c r="M446" s="46"/>
      <c r="N446" s="46"/>
    </row>
    <row r="447" spans="11:14" ht="14">
      <c r="K447" s="46"/>
      <c r="L447" s="46"/>
      <c r="M447" s="46"/>
      <c r="N447" s="46"/>
    </row>
    <row r="448" spans="11:14" ht="14">
      <c r="K448" s="46"/>
      <c r="L448" s="46"/>
      <c r="M448" s="46"/>
      <c r="N448" s="46"/>
    </row>
    <row r="449" spans="11:14" ht="14">
      <c r="K449" s="46"/>
      <c r="L449" s="46"/>
      <c r="M449" s="46"/>
      <c r="N449" s="46"/>
    </row>
    <row r="450" spans="11:14" ht="14">
      <c r="K450" s="46"/>
      <c r="L450" s="46"/>
      <c r="M450" s="46"/>
      <c r="N450" s="46"/>
    </row>
    <row r="451" spans="11:14" ht="14">
      <c r="K451" s="46"/>
      <c r="L451" s="46"/>
      <c r="M451" s="46"/>
      <c r="N451" s="46"/>
    </row>
    <row r="452" spans="11:14" ht="14">
      <c r="K452" s="46"/>
      <c r="L452" s="46"/>
      <c r="M452" s="46"/>
      <c r="N452" s="46"/>
    </row>
    <row r="453" spans="11:14" ht="14">
      <c r="K453" s="46"/>
      <c r="L453" s="46"/>
      <c r="M453" s="46"/>
      <c r="N453" s="46"/>
    </row>
    <row r="454" spans="11:14" ht="14">
      <c r="K454" s="46"/>
      <c r="L454" s="46"/>
      <c r="M454" s="46"/>
      <c r="N454" s="46"/>
    </row>
    <row r="455" spans="11:14" ht="14">
      <c r="K455" s="46"/>
      <c r="L455" s="46"/>
      <c r="M455" s="46"/>
      <c r="N455" s="46"/>
    </row>
    <row r="456" spans="11:14" ht="14">
      <c r="K456" s="46"/>
      <c r="L456" s="46"/>
      <c r="M456" s="46"/>
      <c r="N456" s="46"/>
    </row>
    <row r="457" spans="11:14" ht="14">
      <c r="K457" s="46"/>
      <c r="L457" s="46"/>
      <c r="M457" s="46"/>
      <c r="N457" s="46"/>
    </row>
    <row r="458" spans="11:14" ht="14">
      <c r="K458" s="46"/>
      <c r="L458" s="46"/>
      <c r="M458" s="46"/>
      <c r="N458" s="46"/>
    </row>
    <row r="459" spans="11:14" ht="14">
      <c r="K459" s="46"/>
      <c r="L459" s="46"/>
      <c r="M459" s="46"/>
      <c r="N459" s="46"/>
    </row>
    <row r="460" spans="11:14" ht="14">
      <c r="K460" s="46"/>
      <c r="L460" s="46"/>
      <c r="M460" s="46"/>
      <c r="N460" s="46"/>
    </row>
    <row r="461" spans="11:14" ht="14">
      <c r="K461" s="46"/>
      <c r="L461" s="46"/>
      <c r="M461" s="46"/>
      <c r="N461" s="46"/>
    </row>
    <row r="462" spans="11:14" ht="14">
      <c r="K462" s="46"/>
      <c r="L462" s="46"/>
      <c r="M462" s="46"/>
      <c r="N462" s="46"/>
    </row>
    <row r="463" spans="11:14" ht="14">
      <c r="K463" s="46"/>
      <c r="L463" s="46"/>
      <c r="M463" s="46"/>
      <c r="N463" s="46"/>
    </row>
    <row r="464" spans="11:14" ht="14">
      <c r="K464" s="46"/>
      <c r="L464" s="46"/>
      <c r="M464" s="46"/>
      <c r="N464" s="46"/>
    </row>
    <row r="465" spans="11:14" ht="14">
      <c r="K465" s="46"/>
      <c r="L465" s="46"/>
      <c r="M465" s="46"/>
      <c r="N465" s="46"/>
    </row>
    <row r="466" spans="11:14" ht="14">
      <c r="K466" s="46"/>
      <c r="L466" s="46"/>
      <c r="M466" s="46"/>
      <c r="N466" s="46"/>
    </row>
    <row r="467" spans="11:14" ht="14">
      <c r="K467" s="46"/>
      <c r="L467" s="46"/>
      <c r="M467" s="46"/>
      <c r="N467" s="46"/>
    </row>
    <row r="468" spans="11:14" ht="14">
      <c r="K468" s="46"/>
      <c r="L468" s="46"/>
      <c r="M468" s="46"/>
      <c r="N468" s="46"/>
    </row>
    <row r="469" spans="11:14" ht="14">
      <c r="K469" s="46"/>
      <c r="L469" s="46"/>
      <c r="M469" s="46"/>
      <c r="N469" s="46"/>
    </row>
    <row r="470" spans="11:14" ht="14">
      <c r="K470" s="46"/>
      <c r="L470" s="46"/>
      <c r="M470" s="46"/>
      <c r="N470" s="46"/>
    </row>
    <row r="471" spans="11:14" ht="14">
      <c r="K471" s="46"/>
      <c r="L471" s="46"/>
      <c r="M471" s="46"/>
      <c r="N471" s="46"/>
    </row>
    <row r="472" spans="11:14" ht="14">
      <c r="K472" s="46"/>
      <c r="L472" s="46"/>
      <c r="M472" s="46"/>
      <c r="N472" s="46"/>
    </row>
    <row r="473" spans="11:14" ht="14">
      <c r="K473" s="46"/>
      <c r="L473" s="46"/>
      <c r="M473" s="46"/>
      <c r="N473" s="46"/>
    </row>
    <row r="474" spans="11:14" ht="14">
      <c r="K474" s="46"/>
      <c r="L474" s="46"/>
      <c r="M474" s="46"/>
      <c r="N474" s="46"/>
    </row>
    <row r="475" spans="11:14" ht="14">
      <c r="K475" s="46"/>
      <c r="L475" s="46"/>
      <c r="M475" s="46"/>
      <c r="N475" s="46"/>
    </row>
    <row r="476" spans="11:14" ht="14">
      <c r="K476" s="46"/>
      <c r="L476" s="46"/>
      <c r="M476" s="46"/>
      <c r="N476" s="46"/>
    </row>
    <row r="477" spans="11:14" ht="14">
      <c r="K477" s="46"/>
      <c r="L477" s="46"/>
      <c r="M477" s="46"/>
      <c r="N477" s="46"/>
    </row>
    <row r="478" spans="11:14" ht="14">
      <c r="K478" s="46"/>
      <c r="L478" s="46"/>
      <c r="M478" s="46"/>
      <c r="N478" s="46"/>
    </row>
    <row r="479" spans="11:14" ht="14">
      <c r="K479" s="46"/>
      <c r="L479" s="46"/>
      <c r="M479" s="46"/>
      <c r="N479" s="46"/>
    </row>
    <row r="480" spans="11:14" ht="14">
      <c r="K480" s="46"/>
      <c r="L480" s="46"/>
      <c r="M480" s="46"/>
      <c r="N480" s="46"/>
    </row>
    <row r="481" spans="11:14" ht="14">
      <c r="K481" s="46"/>
      <c r="L481" s="46"/>
      <c r="M481" s="46"/>
      <c r="N481" s="46"/>
    </row>
    <row r="482" spans="11:14" ht="14">
      <c r="K482" s="46"/>
      <c r="L482" s="46"/>
      <c r="M482" s="46"/>
      <c r="N482" s="46"/>
    </row>
    <row r="483" spans="11:14" ht="14">
      <c r="K483" s="46"/>
      <c r="L483" s="46"/>
      <c r="M483" s="46"/>
      <c r="N483" s="46"/>
    </row>
    <row r="484" spans="11:14" ht="14">
      <c r="K484" s="46"/>
      <c r="L484" s="46"/>
      <c r="M484" s="46"/>
      <c r="N484" s="46"/>
    </row>
    <row r="485" spans="11:14" ht="14">
      <c r="K485" s="46"/>
      <c r="L485" s="46"/>
      <c r="M485" s="46"/>
      <c r="N485" s="46"/>
    </row>
    <row r="486" spans="11:14" ht="14">
      <c r="K486" s="46"/>
      <c r="L486" s="46"/>
      <c r="M486" s="46"/>
      <c r="N486" s="46"/>
    </row>
    <row r="487" spans="11:14" ht="14">
      <c r="K487" s="46"/>
      <c r="L487" s="46"/>
      <c r="M487" s="46"/>
      <c r="N487" s="46"/>
    </row>
    <row r="488" spans="11:14" ht="14">
      <c r="K488" s="46"/>
      <c r="L488" s="46"/>
      <c r="M488" s="46"/>
      <c r="N488" s="46"/>
    </row>
    <row r="489" spans="11:14" ht="14">
      <c r="K489" s="46"/>
      <c r="L489" s="46"/>
      <c r="M489" s="46"/>
      <c r="N489" s="46"/>
    </row>
    <row r="490" spans="11:14" ht="14">
      <c r="K490" s="46"/>
      <c r="L490" s="46"/>
      <c r="M490" s="46"/>
      <c r="N490" s="46"/>
    </row>
    <row r="491" spans="11:14" ht="14">
      <c r="K491" s="46"/>
      <c r="L491" s="46"/>
      <c r="M491" s="46"/>
      <c r="N491" s="46"/>
    </row>
    <row r="492" spans="11:14" ht="14">
      <c r="K492" s="46"/>
      <c r="L492" s="46"/>
      <c r="M492" s="46"/>
      <c r="N492" s="46"/>
    </row>
    <row r="493" spans="11:14" ht="14">
      <c r="K493" s="46"/>
      <c r="L493" s="46"/>
      <c r="M493" s="46"/>
      <c r="N493" s="46"/>
    </row>
    <row r="494" spans="11:14" ht="14">
      <c r="K494" s="46"/>
      <c r="L494" s="46"/>
      <c r="M494" s="46"/>
      <c r="N494" s="46"/>
    </row>
    <row r="495" spans="11:14" ht="14">
      <c r="K495" s="46"/>
      <c r="L495" s="46"/>
      <c r="M495" s="46"/>
      <c r="N495" s="46"/>
    </row>
    <row r="496" spans="11:14" ht="14">
      <c r="K496" s="46"/>
      <c r="L496" s="46"/>
      <c r="M496" s="46"/>
      <c r="N496" s="46"/>
    </row>
    <row r="497" spans="11:14" ht="14">
      <c r="K497" s="46"/>
      <c r="L497" s="46"/>
      <c r="M497" s="46"/>
      <c r="N497" s="46"/>
    </row>
    <row r="498" spans="11:14" ht="14">
      <c r="K498" s="46"/>
      <c r="L498" s="46"/>
      <c r="M498" s="46"/>
      <c r="N498" s="46"/>
    </row>
    <row r="499" spans="11:14" ht="14">
      <c r="K499" s="46"/>
      <c r="L499" s="46"/>
      <c r="M499" s="46"/>
      <c r="N499" s="46"/>
    </row>
    <row r="500" spans="11:14" ht="14">
      <c r="K500" s="46"/>
      <c r="L500" s="46"/>
      <c r="M500" s="46"/>
      <c r="N500" s="46"/>
    </row>
    <row r="501" spans="11:14" ht="14">
      <c r="K501" s="46"/>
      <c r="L501" s="46"/>
      <c r="M501" s="46"/>
      <c r="N501" s="46"/>
    </row>
    <row r="502" spans="11:14" ht="14">
      <c r="K502" s="46"/>
      <c r="L502" s="46"/>
      <c r="M502" s="46"/>
      <c r="N502" s="46"/>
    </row>
    <row r="503" spans="11:14" ht="14">
      <c r="K503" s="46"/>
      <c r="L503" s="46"/>
      <c r="M503" s="46"/>
      <c r="N503" s="46"/>
    </row>
    <row r="504" spans="11:14" ht="14">
      <c r="K504" s="46"/>
      <c r="L504" s="46"/>
      <c r="M504" s="46"/>
      <c r="N504" s="46"/>
    </row>
    <row r="505" spans="11:14" ht="14">
      <c r="K505" s="46"/>
      <c r="L505" s="46"/>
      <c r="M505" s="46"/>
      <c r="N505" s="46"/>
    </row>
    <row r="506" spans="11:14" ht="14">
      <c r="K506" s="46"/>
      <c r="L506" s="46"/>
      <c r="M506" s="46"/>
      <c r="N506" s="46"/>
    </row>
    <row r="507" spans="11:14" ht="14">
      <c r="K507" s="46"/>
      <c r="L507" s="46"/>
      <c r="M507" s="46"/>
      <c r="N507" s="46"/>
    </row>
    <row r="508" spans="11:14" ht="14">
      <c r="K508" s="46"/>
      <c r="L508" s="46"/>
      <c r="M508" s="46"/>
      <c r="N508" s="46"/>
    </row>
    <row r="509" spans="11:14" ht="14">
      <c r="K509" s="46"/>
      <c r="L509" s="46"/>
      <c r="M509" s="46"/>
      <c r="N509" s="46"/>
    </row>
    <row r="510" spans="11:14" ht="14">
      <c r="K510" s="46"/>
      <c r="L510" s="46"/>
      <c r="M510" s="46"/>
      <c r="N510" s="46"/>
    </row>
    <row r="511" spans="11:14" ht="14">
      <c r="K511" s="46"/>
      <c r="L511" s="46"/>
      <c r="M511" s="46"/>
      <c r="N511" s="46"/>
    </row>
    <row r="512" spans="11:14" ht="14">
      <c r="K512" s="46"/>
      <c r="L512" s="46"/>
      <c r="M512" s="46"/>
      <c r="N512" s="46"/>
    </row>
    <row r="513" spans="11:14" ht="14">
      <c r="K513" s="46"/>
      <c r="L513" s="46"/>
      <c r="M513" s="46"/>
      <c r="N513" s="46"/>
    </row>
    <row r="514" spans="11:14" ht="14">
      <c r="K514" s="46"/>
      <c r="L514" s="46"/>
      <c r="M514" s="46"/>
      <c r="N514" s="46"/>
    </row>
    <row r="515" spans="11:14" ht="14">
      <c r="K515" s="46"/>
      <c r="L515" s="46"/>
      <c r="M515" s="46"/>
      <c r="N515" s="46"/>
    </row>
    <row r="516" spans="11:14" ht="14">
      <c r="K516" s="46"/>
      <c r="L516" s="46"/>
      <c r="M516" s="46"/>
      <c r="N516" s="46"/>
    </row>
    <row r="517" spans="11:14" ht="14">
      <c r="K517" s="46"/>
      <c r="L517" s="46"/>
      <c r="M517" s="46"/>
      <c r="N517" s="46"/>
    </row>
    <row r="518" spans="11:14" ht="14">
      <c r="K518" s="46"/>
      <c r="L518" s="46"/>
      <c r="M518" s="46"/>
      <c r="N518" s="46"/>
    </row>
    <row r="519" spans="11:14" ht="14">
      <c r="K519" s="46"/>
      <c r="L519" s="46"/>
      <c r="M519" s="46"/>
      <c r="N519" s="46"/>
    </row>
    <row r="520" spans="11:14" ht="14">
      <c r="K520" s="46"/>
      <c r="L520" s="46"/>
      <c r="M520" s="46"/>
      <c r="N520" s="46"/>
    </row>
    <row r="521" spans="11:14" ht="14">
      <c r="K521" s="46"/>
      <c r="L521" s="46"/>
      <c r="M521" s="46"/>
      <c r="N521" s="46"/>
    </row>
    <row r="522" spans="11:14" ht="14">
      <c r="K522" s="46"/>
      <c r="L522" s="46"/>
      <c r="M522" s="46"/>
      <c r="N522" s="46"/>
    </row>
    <row r="523" spans="11:14" ht="14">
      <c r="K523" s="46"/>
      <c r="L523" s="46"/>
      <c r="M523" s="46"/>
      <c r="N523" s="46"/>
    </row>
    <row r="524" spans="11:14" ht="14">
      <c r="K524" s="46"/>
      <c r="L524" s="46"/>
      <c r="M524" s="46"/>
      <c r="N524" s="46"/>
    </row>
    <row r="525" spans="11:14" ht="14">
      <c r="K525" s="46"/>
      <c r="L525" s="46"/>
      <c r="M525" s="46"/>
      <c r="N525" s="46"/>
    </row>
    <row r="526" spans="11:14" ht="14">
      <c r="K526" s="46"/>
      <c r="L526" s="46"/>
      <c r="M526" s="46"/>
      <c r="N526" s="46"/>
    </row>
    <row r="527" spans="11:14" ht="14">
      <c r="K527" s="46"/>
      <c r="L527" s="46"/>
      <c r="M527" s="46"/>
      <c r="N527" s="46"/>
    </row>
    <row r="528" spans="11:14" ht="14">
      <c r="K528" s="46"/>
      <c r="L528" s="46"/>
      <c r="M528" s="46"/>
      <c r="N528" s="46"/>
    </row>
    <row r="529" spans="11:14" ht="14">
      <c r="K529" s="46"/>
      <c r="L529" s="46"/>
      <c r="M529" s="46"/>
      <c r="N529" s="46"/>
    </row>
    <row r="530" spans="11:14" ht="14">
      <c r="K530" s="46"/>
      <c r="L530" s="46"/>
      <c r="M530" s="46"/>
      <c r="N530" s="46"/>
    </row>
    <row r="531" spans="11:14" ht="14">
      <c r="K531" s="46"/>
      <c r="L531" s="46"/>
      <c r="M531" s="46"/>
      <c r="N531" s="46"/>
    </row>
    <row r="532" spans="11:14" ht="14">
      <c r="K532" s="46"/>
      <c r="L532" s="46"/>
      <c r="M532" s="46"/>
      <c r="N532" s="46"/>
    </row>
    <row r="533" spans="11:14" ht="14">
      <c r="K533" s="46"/>
      <c r="L533" s="46"/>
      <c r="M533" s="46"/>
      <c r="N533" s="46"/>
    </row>
    <row r="534" spans="11:14" ht="14">
      <c r="K534" s="46"/>
      <c r="L534" s="46"/>
      <c r="M534" s="46"/>
      <c r="N534" s="46"/>
    </row>
    <row r="535" spans="11:14" ht="14">
      <c r="K535" s="46"/>
      <c r="L535" s="46"/>
      <c r="M535" s="46"/>
      <c r="N535" s="46"/>
    </row>
    <row r="536" spans="11:14" ht="14">
      <c r="K536" s="46"/>
      <c r="L536" s="46"/>
      <c r="M536" s="46"/>
      <c r="N536" s="46"/>
    </row>
    <row r="537" spans="11:14" ht="14">
      <c r="K537" s="46"/>
      <c r="L537" s="46"/>
      <c r="M537" s="46"/>
      <c r="N537" s="46"/>
    </row>
    <row r="538" spans="11:14" ht="14">
      <c r="K538" s="46"/>
      <c r="L538" s="46"/>
      <c r="M538" s="46"/>
      <c r="N538" s="46"/>
    </row>
    <row r="539" spans="11:14" ht="14">
      <c r="K539" s="46"/>
      <c r="L539" s="46"/>
      <c r="M539" s="46"/>
      <c r="N539" s="46"/>
    </row>
    <row r="540" spans="11:14" ht="14">
      <c r="K540" s="46"/>
      <c r="L540" s="46"/>
      <c r="M540" s="46"/>
      <c r="N540" s="46"/>
    </row>
    <row r="541" spans="11:14" ht="14">
      <c r="K541" s="46"/>
      <c r="L541" s="46"/>
      <c r="M541" s="46"/>
      <c r="N541" s="46"/>
    </row>
    <row r="542" spans="11:14" ht="14">
      <c r="K542" s="46"/>
      <c r="L542" s="46"/>
      <c r="M542" s="46"/>
      <c r="N542" s="46"/>
    </row>
    <row r="543" spans="11:14" ht="14">
      <c r="K543" s="46"/>
      <c r="L543" s="46"/>
      <c r="M543" s="46"/>
      <c r="N543" s="46"/>
    </row>
    <row r="544" spans="11:14" ht="14">
      <c r="K544" s="46"/>
      <c r="L544" s="46"/>
      <c r="M544" s="46"/>
      <c r="N544" s="46"/>
    </row>
    <row r="545" spans="11:14" ht="14">
      <c r="K545" s="46"/>
      <c r="L545" s="46"/>
      <c r="M545" s="46"/>
      <c r="N545" s="46"/>
    </row>
    <row r="546" spans="11:14" ht="14">
      <c r="K546" s="46"/>
      <c r="L546" s="46"/>
      <c r="M546" s="46"/>
      <c r="N546" s="46"/>
    </row>
    <row r="547" spans="11:14" ht="14">
      <c r="K547" s="46"/>
      <c r="L547" s="46"/>
      <c r="M547" s="46"/>
      <c r="N547" s="46"/>
    </row>
    <row r="548" spans="11:14" ht="14">
      <c r="K548" s="46"/>
      <c r="L548" s="46"/>
      <c r="M548" s="46"/>
      <c r="N548" s="46"/>
    </row>
    <row r="549" spans="11:14" ht="14">
      <c r="K549" s="46"/>
      <c r="L549" s="46"/>
      <c r="M549" s="46"/>
      <c r="N549" s="46"/>
    </row>
    <row r="550" spans="11:14" ht="14">
      <c r="K550" s="46"/>
      <c r="L550" s="46"/>
      <c r="M550" s="46"/>
      <c r="N550" s="46"/>
    </row>
    <row r="551" spans="11:14" ht="14">
      <c r="K551" s="46"/>
      <c r="L551" s="46"/>
      <c r="M551" s="46"/>
      <c r="N551" s="46"/>
    </row>
    <row r="552" spans="11:14" ht="14">
      <c r="K552" s="46"/>
      <c r="L552" s="46"/>
      <c r="M552" s="46"/>
      <c r="N552" s="46"/>
    </row>
    <row r="553" spans="11:14" ht="14">
      <c r="K553" s="46"/>
      <c r="L553" s="46"/>
      <c r="M553" s="46"/>
      <c r="N553" s="46"/>
    </row>
    <row r="554" spans="11:14" ht="14">
      <c r="K554" s="46"/>
      <c r="L554" s="46"/>
      <c r="M554" s="46"/>
      <c r="N554" s="46"/>
    </row>
    <row r="555" spans="11:14" ht="14">
      <c r="K555" s="46"/>
      <c r="L555" s="46"/>
      <c r="M555" s="46"/>
      <c r="N555" s="46"/>
    </row>
    <row r="556" spans="11:14" ht="14">
      <c r="K556" s="46"/>
      <c r="L556" s="46"/>
      <c r="M556" s="46"/>
      <c r="N556" s="46"/>
    </row>
    <row r="557" spans="11:14" ht="14">
      <c r="K557" s="46"/>
      <c r="L557" s="46"/>
      <c r="M557" s="46"/>
      <c r="N557" s="46"/>
    </row>
    <row r="558" spans="11:14" ht="14">
      <c r="K558" s="46"/>
      <c r="L558" s="46"/>
      <c r="M558" s="46"/>
      <c r="N558" s="46"/>
    </row>
    <row r="559" spans="11:14" ht="14">
      <c r="K559" s="46"/>
      <c r="L559" s="46"/>
      <c r="M559" s="46"/>
      <c r="N559" s="46"/>
    </row>
    <row r="560" spans="11:14" ht="14">
      <c r="K560" s="46"/>
      <c r="L560" s="46"/>
      <c r="M560" s="46"/>
      <c r="N560" s="46"/>
    </row>
    <row r="561" spans="11:14" ht="14">
      <c r="K561" s="46"/>
      <c r="L561" s="46"/>
      <c r="M561" s="46"/>
      <c r="N561" s="46"/>
    </row>
    <row r="562" spans="11:14" ht="14">
      <c r="K562" s="46"/>
      <c r="L562" s="46"/>
      <c r="M562" s="46"/>
      <c r="N562" s="46"/>
    </row>
    <row r="563" spans="11:14" ht="14">
      <c r="K563" s="46"/>
      <c r="L563" s="46"/>
      <c r="M563" s="46"/>
      <c r="N563" s="46"/>
    </row>
    <row r="564" spans="11:14" ht="14">
      <c r="K564" s="46"/>
      <c r="L564" s="46"/>
      <c r="M564" s="46"/>
      <c r="N564" s="46"/>
    </row>
    <row r="565" spans="11:14" ht="14">
      <c r="K565" s="46"/>
      <c r="L565" s="46"/>
      <c r="M565" s="46"/>
      <c r="N565" s="46"/>
    </row>
    <row r="566" spans="11:14" ht="14">
      <c r="K566" s="46"/>
      <c r="L566" s="46"/>
      <c r="M566" s="46"/>
      <c r="N566" s="46"/>
    </row>
    <row r="567" spans="11:14" ht="14">
      <c r="K567" s="46"/>
      <c r="L567" s="46"/>
      <c r="M567" s="46"/>
      <c r="N567" s="46"/>
    </row>
    <row r="568" spans="11:14" ht="14">
      <c r="K568" s="46"/>
      <c r="L568" s="46"/>
      <c r="M568" s="46"/>
      <c r="N568" s="46"/>
    </row>
    <row r="569" spans="11:14" ht="14">
      <c r="K569" s="46"/>
      <c r="L569" s="46"/>
      <c r="M569" s="46"/>
      <c r="N569" s="46"/>
    </row>
    <row r="570" spans="11:14" ht="14">
      <c r="K570" s="46"/>
      <c r="L570" s="46"/>
      <c r="M570" s="46"/>
      <c r="N570" s="46"/>
    </row>
    <row r="571" spans="11:14" ht="14">
      <c r="K571" s="46"/>
      <c r="L571" s="46"/>
      <c r="M571" s="46"/>
      <c r="N571" s="46"/>
    </row>
    <row r="572" spans="11:14" ht="14">
      <c r="K572" s="46"/>
      <c r="L572" s="46"/>
      <c r="M572" s="46"/>
      <c r="N572" s="46"/>
    </row>
    <row r="573" spans="11:14" ht="14">
      <c r="K573" s="46"/>
      <c r="L573" s="46"/>
      <c r="M573" s="46"/>
      <c r="N573" s="46"/>
    </row>
    <row r="574" spans="11:14" ht="14">
      <c r="K574" s="46"/>
      <c r="L574" s="46"/>
      <c r="M574" s="46"/>
      <c r="N574" s="46"/>
    </row>
    <row r="575" spans="11:14" ht="14">
      <c r="K575" s="46"/>
      <c r="L575" s="46"/>
      <c r="M575" s="46"/>
      <c r="N575" s="46"/>
    </row>
    <row r="576" spans="11:14" ht="14">
      <c r="K576" s="46"/>
      <c r="L576" s="46"/>
      <c r="M576" s="46"/>
      <c r="N576" s="46"/>
    </row>
    <row r="577" spans="11:14" ht="14">
      <c r="K577" s="46"/>
      <c r="L577" s="46"/>
      <c r="M577" s="46"/>
      <c r="N577" s="46"/>
    </row>
    <row r="578" spans="11:14" ht="14">
      <c r="K578" s="46"/>
      <c r="L578" s="46"/>
      <c r="M578" s="46"/>
      <c r="N578" s="46"/>
    </row>
    <row r="579" spans="11:14" ht="14">
      <c r="K579" s="46"/>
      <c r="L579" s="46"/>
      <c r="M579" s="46"/>
      <c r="N579" s="46"/>
    </row>
    <row r="580" spans="11:14" ht="14">
      <c r="K580" s="46"/>
      <c r="L580" s="46"/>
      <c r="M580" s="46"/>
      <c r="N580" s="46"/>
    </row>
    <row r="581" spans="11:14" ht="14">
      <c r="K581" s="46"/>
      <c r="L581" s="46"/>
      <c r="M581" s="46"/>
      <c r="N581" s="46"/>
    </row>
    <row r="582" spans="11:14" ht="14">
      <c r="K582" s="46"/>
      <c r="L582" s="46"/>
      <c r="M582" s="46"/>
      <c r="N582" s="46"/>
    </row>
    <row r="583" spans="11:14" ht="14">
      <c r="K583" s="46"/>
      <c r="L583" s="46"/>
      <c r="M583" s="46"/>
      <c r="N583" s="46"/>
    </row>
    <row r="584" spans="11:14" ht="14">
      <c r="K584" s="46"/>
      <c r="L584" s="46"/>
      <c r="M584" s="46"/>
      <c r="N584" s="46"/>
    </row>
    <row r="585" spans="11:14" ht="14">
      <c r="K585" s="46"/>
      <c r="L585" s="46"/>
      <c r="M585" s="46"/>
      <c r="N585" s="46"/>
    </row>
    <row r="586" spans="11:14" ht="14">
      <c r="K586" s="46"/>
      <c r="L586" s="46"/>
      <c r="M586" s="46"/>
      <c r="N586" s="46"/>
    </row>
    <row r="587" spans="11:14" ht="14">
      <c r="K587" s="46"/>
      <c r="L587" s="46"/>
      <c r="M587" s="46"/>
      <c r="N587" s="46"/>
    </row>
    <row r="588" spans="11:14" ht="14">
      <c r="K588" s="46"/>
      <c r="L588" s="46"/>
      <c r="M588" s="46"/>
      <c r="N588" s="46"/>
    </row>
    <row r="589" spans="11:14" ht="14">
      <c r="K589" s="46"/>
      <c r="L589" s="46"/>
      <c r="M589" s="46"/>
      <c r="N589" s="46"/>
    </row>
    <row r="590" spans="11:14" ht="14">
      <c r="K590" s="46"/>
      <c r="L590" s="46"/>
      <c r="M590" s="46"/>
      <c r="N590" s="46"/>
    </row>
    <row r="591" spans="11:14" ht="14">
      <c r="K591" s="46"/>
      <c r="L591" s="46"/>
      <c r="M591" s="46"/>
      <c r="N591" s="46"/>
    </row>
    <row r="592" spans="11:14" ht="14">
      <c r="K592" s="46"/>
      <c r="L592" s="46"/>
      <c r="M592" s="46"/>
      <c r="N592" s="46"/>
    </row>
    <row r="593" spans="11:14" ht="14">
      <c r="K593" s="46"/>
      <c r="L593" s="46"/>
      <c r="M593" s="46"/>
      <c r="N593" s="46"/>
    </row>
    <row r="594" spans="11:14" ht="14">
      <c r="K594" s="46"/>
      <c r="L594" s="46"/>
      <c r="M594" s="46"/>
      <c r="N594" s="46"/>
    </row>
    <row r="595" spans="11:14" ht="14">
      <c r="K595" s="46"/>
      <c r="L595" s="46"/>
      <c r="M595" s="46"/>
      <c r="N595" s="46"/>
    </row>
    <row r="596" spans="11:14" ht="14">
      <c r="K596" s="46"/>
      <c r="L596" s="46"/>
      <c r="M596" s="46"/>
      <c r="N596" s="46"/>
    </row>
    <row r="597" spans="11:14" ht="14">
      <c r="K597" s="46"/>
      <c r="L597" s="46"/>
      <c r="M597" s="46"/>
      <c r="N597" s="46"/>
    </row>
    <row r="598" spans="11:14" ht="14">
      <c r="K598" s="46"/>
      <c r="L598" s="46"/>
      <c r="M598" s="46"/>
      <c r="N598" s="46"/>
    </row>
    <row r="599" spans="11:14" ht="14">
      <c r="K599" s="46"/>
      <c r="L599" s="46"/>
      <c r="M599" s="46"/>
      <c r="N599" s="46"/>
    </row>
    <row r="600" spans="11:14" ht="14">
      <c r="K600" s="46"/>
      <c r="L600" s="46"/>
      <c r="M600" s="46"/>
      <c r="N600" s="46"/>
    </row>
    <row r="601" spans="11:14" ht="14">
      <c r="K601" s="46"/>
      <c r="L601" s="46"/>
      <c r="M601" s="46"/>
      <c r="N601" s="46"/>
    </row>
    <row r="602" spans="11:14" ht="14">
      <c r="K602" s="46"/>
      <c r="L602" s="46"/>
      <c r="M602" s="46"/>
      <c r="N602" s="46"/>
    </row>
    <row r="603" spans="11:14" ht="14">
      <c r="K603" s="46"/>
      <c r="L603" s="46"/>
      <c r="M603" s="46"/>
      <c r="N603" s="46"/>
    </row>
    <row r="604" spans="11:14" ht="14">
      <c r="K604" s="46"/>
      <c r="L604" s="46"/>
      <c r="M604" s="46"/>
      <c r="N604" s="46"/>
    </row>
    <row r="605" spans="11:14" ht="14">
      <c r="K605" s="46"/>
      <c r="L605" s="46"/>
      <c r="M605" s="46"/>
      <c r="N605" s="46"/>
    </row>
    <row r="606" spans="11:14" ht="14">
      <c r="K606" s="46"/>
      <c r="L606" s="46"/>
      <c r="M606" s="46"/>
      <c r="N606" s="46"/>
    </row>
    <row r="607" spans="11:14" ht="14">
      <c r="K607" s="46"/>
      <c r="L607" s="46"/>
      <c r="M607" s="46"/>
      <c r="N607" s="46"/>
    </row>
    <row r="608" spans="11:14" ht="14">
      <c r="K608" s="46"/>
      <c r="L608" s="46"/>
      <c r="M608" s="46"/>
      <c r="N608" s="46"/>
    </row>
    <row r="609" spans="11:14" ht="14">
      <c r="K609" s="46"/>
      <c r="L609" s="46"/>
      <c r="M609" s="46"/>
      <c r="N609" s="46"/>
    </row>
    <row r="610" spans="11:14" ht="14">
      <c r="K610" s="46"/>
      <c r="L610" s="46"/>
      <c r="M610" s="46"/>
      <c r="N610" s="46"/>
    </row>
    <row r="611" spans="11:14" ht="14">
      <c r="K611" s="46"/>
      <c r="L611" s="46"/>
      <c r="M611" s="46"/>
      <c r="N611" s="46"/>
    </row>
    <row r="612" spans="11:14" ht="14">
      <c r="K612" s="46"/>
      <c r="L612" s="46"/>
      <c r="M612" s="46"/>
      <c r="N612" s="46"/>
    </row>
    <row r="613" spans="11:14" ht="14">
      <c r="K613" s="46"/>
      <c r="L613" s="46"/>
      <c r="M613" s="46"/>
      <c r="N613" s="46"/>
    </row>
    <row r="614" spans="11:14" ht="14">
      <c r="K614" s="46"/>
      <c r="L614" s="46"/>
      <c r="M614" s="46"/>
      <c r="N614" s="46"/>
    </row>
    <row r="615" spans="11:14" ht="14">
      <c r="K615" s="46"/>
      <c r="L615" s="46"/>
      <c r="M615" s="46"/>
      <c r="N615" s="46"/>
    </row>
    <row r="616" spans="11:14" ht="14">
      <c r="K616" s="46"/>
      <c r="L616" s="46"/>
      <c r="M616" s="46"/>
      <c r="N616" s="46"/>
    </row>
    <row r="617" spans="11:14" ht="14">
      <c r="K617" s="46"/>
      <c r="L617" s="46"/>
      <c r="M617" s="46"/>
      <c r="N617" s="46"/>
    </row>
    <row r="618" spans="11:14" ht="14">
      <c r="K618" s="46"/>
      <c r="L618" s="46"/>
      <c r="M618" s="46"/>
      <c r="N618" s="46"/>
    </row>
    <row r="619" spans="11:14" ht="14">
      <c r="K619" s="46"/>
      <c r="L619" s="46"/>
      <c r="M619" s="46"/>
      <c r="N619" s="46"/>
    </row>
    <row r="620" spans="11:14" ht="14">
      <c r="K620" s="46"/>
      <c r="L620" s="46"/>
      <c r="M620" s="46"/>
      <c r="N620" s="46"/>
    </row>
    <row r="621" spans="11:14" ht="14">
      <c r="K621" s="46"/>
      <c r="L621" s="46"/>
      <c r="M621" s="46"/>
      <c r="N621" s="46"/>
    </row>
    <row r="622" spans="11:14" ht="14">
      <c r="K622" s="46"/>
      <c r="L622" s="46"/>
      <c r="M622" s="46"/>
      <c r="N622" s="46"/>
    </row>
    <row r="623" spans="11:14" ht="14">
      <c r="K623" s="46"/>
      <c r="L623" s="46"/>
      <c r="M623" s="46"/>
      <c r="N623" s="46"/>
    </row>
    <row r="624" spans="11:14" ht="14">
      <c r="K624" s="46"/>
      <c r="L624" s="46"/>
      <c r="M624" s="46"/>
      <c r="N624" s="46"/>
    </row>
    <row r="625" spans="11:14" ht="14">
      <c r="K625" s="46"/>
      <c r="L625" s="46"/>
      <c r="M625" s="46"/>
      <c r="N625" s="46"/>
    </row>
    <row r="626" spans="11:14" ht="14">
      <c r="K626" s="46"/>
      <c r="L626" s="46"/>
      <c r="M626" s="46"/>
      <c r="N626" s="46"/>
    </row>
    <row r="627" spans="11:14" ht="14">
      <c r="K627" s="46"/>
      <c r="L627" s="46"/>
      <c r="M627" s="46"/>
      <c r="N627" s="46"/>
    </row>
    <row r="628" spans="11:14" ht="14">
      <c r="K628" s="46"/>
      <c r="L628" s="46"/>
      <c r="M628" s="46"/>
      <c r="N628" s="46"/>
    </row>
    <row r="629" spans="11:14" ht="14">
      <c r="K629" s="46"/>
      <c r="L629" s="46"/>
      <c r="M629" s="46"/>
      <c r="N629" s="46"/>
    </row>
    <row r="630" spans="11:14" ht="14">
      <c r="K630" s="46"/>
      <c r="L630" s="46"/>
      <c r="M630" s="46"/>
      <c r="N630" s="46"/>
    </row>
    <row r="631" spans="11:14" ht="14">
      <c r="K631" s="46"/>
      <c r="L631" s="46"/>
      <c r="M631" s="46"/>
      <c r="N631" s="46"/>
    </row>
    <row r="632" spans="11:14" ht="14">
      <c r="K632" s="46"/>
      <c r="L632" s="46"/>
      <c r="M632" s="46"/>
      <c r="N632" s="46"/>
    </row>
    <row r="633" spans="11:14" ht="14">
      <c r="K633" s="46"/>
      <c r="L633" s="46"/>
      <c r="M633" s="46"/>
      <c r="N633" s="46"/>
    </row>
    <row r="634" spans="11:14" ht="14">
      <c r="K634" s="46"/>
      <c r="L634" s="46"/>
      <c r="M634" s="46"/>
      <c r="N634" s="46"/>
    </row>
    <row r="635" spans="11:14" ht="14">
      <c r="K635" s="46"/>
      <c r="L635" s="46"/>
      <c r="M635" s="46"/>
      <c r="N635" s="46"/>
    </row>
    <row r="636" spans="11:14" ht="14">
      <c r="K636" s="46"/>
      <c r="L636" s="46"/>
      <c r="M636" s="46"/>
      <c r="N636" s="46"/>
    </row>
    <row r="637" spans="11:14" ht="14">
      <c r="K637" s="46"/>
      <c r="L637" s="46"/>
      <c r="M637" s="46"/>
      <c r="N637" s="46"/>
    </row>
    <row r="638" spans="11:14" ht="14">
      <c r="K638" s="46"/>
      <c r="L638" s="46"/>
      <c r="M638" s="46"/>
      <c r="N638" s="46"/>
    </row>
    <row r="639" spans="11:14" ht="14">
      <c r="K639" s="46"/>
      <c r="L639" s="46"/>
      <c r="M639" s="46"/>
      <c r="N639" s="46"/>
    </row>
    <row r="640" spans="11:14" ht="14">
      <c r="K640" s="46"/>
      <c r="L640" s="46"/>
      <c r="M640" s="46"/>
      <c r="N640" s="46"/>
    </row>
    <row r="641" spans="11:14" ht="14">
      <c r="K641" s="46"/>
      <c r="L641" s="46"/>
      <c r="M641" s="46"/>
      <c r="N641" s="46"/>
    </row>
    <row r="642" spans="11:14" ht="14">
      <c r="K642" s="46"/>
      <c r="L642" s="46"/>
      <c r="M642" s="46"/>
      <c r="N642" s="46"/>
    </row>
    <row r="643" spans="11:14" ht="14">
      <c r="K643" s="46"/>
      <c r="L643" s="46"/>
      <c r="M643" s="46"/>
      <c r="N643" s="46"/>
    </row>
    <row r="644" spans="11:14" ht="14">
      <c r="K644" s="46"/>
      <c r="L644" s="46"/>
      <c r="M644" s="46"/>
      <c r="N644" s="46"/>
    </row>
    <row r="645" spans="11:14" ht="14">
      <c r="K645" s="46"/>
      <c r="L645" s="46"/>
      <c r="M645" s="46"/>
      <c r="N645" s="46"/>
    </row>
    <row r="646" spans="11:14" ht="14">
      <c r="K646" s="46"/>
      <c r="L646" s="46"/>
      <c r="M646" s="46"/>
      <c r="N646" s="46"/>
    </row>
    <row r="647" spans="11:14" ht="14">
      <c r="K647" s="46"/>
      <c r="L647" s="46"/>
      <c r="M647" s="46"/>
      <c r="N647" s="46"/>
    </row>
    <row r="648" spans="11:14" ht="14">
      <c r="K648" s="46"/>
      <c r="L648" s="46"/>
      <c r="M648" s="46"/>
      <c r="N648" s="46"/>
    </row>
    <row r="649" spans="11:14" ht="14">
      <c r="K649" s="46"/>
      <c r="L649" s="46"/>
      <c r="M649" s="46"/>
      <c r="N649" s="46"/>
    </row>
    <row r="650" spans="11:14" ht="14">
      <c r="K650" s="46"/>
      <c r="L650" s="46"/>
      <c r="M650" s="46"/>
      <c r="N650" s="46"/>
    </row>
    <row r="651" spans="11:14" ht="14">
      <c r="K651" s="46"/>
      <c r="L651" s="46"/>
      <c r="M651" s="46"/>
      <c r="N651" s="46"/>
    </row>
    <row r="652" spans="11:14" ht="14">
      <c r="K652" s="46"/>
      <c r="L652" s="46"/>
      <c r="M652" s="46"/>
      <c r="N652" s="46"/>
    </row>
    <row r="653" spans="11:14" ht="14">
      <c r="K653" s="46"/>
      <c r="L653" s="46"/>
      <c r="M653" s="46"/>
      <c r="N653" s="46"/>
    </row>
    <row r="654" spans="11:14" ht="14">
      <c r="K654" s="46"/>
      <c r="L654" s="46"/>
      <c r="M654" s="46"/>
      <c r="N654" s="46"/>
    </row>
    <row r="655" spans="11:14" ht="14">
      <c r="K655" s="46"/>
      <c r="L655" s="46"/>
      <c r="M655" s="46"/>
      <c r="N655" s="46"/>
    </row>
    <row r="656" spans="11:14" ht="14">
      <c r="K656" s="46"/>
      <c r="L656" s="46"/>
      <c r="M656" s="46"/>
      <c r="N656" s="46"/>
    </row>
    <row r="657" spans="11:14" ht="14">
      <c r="K657" s="46"/>
      <c r="L657" s="46"/>
      <c r="M657" s="46"/>
      <c r="N657" s="46"/>
    </row>
    <row r="658" spans="11:14" ht="14">
      <c r="K658" s="46"/>
      <c r="L658" s="46"/>
      <c r="M658" s="46"/>
      <c r="N658" s="46"/>
    </row>
    <row r="659" spans="11:14" ht="14">
      <c r="K659" s="46"/>
      <c r="L659" s="46"/>
      <c r="M659" s="46"/>
      <c r="N659" s="46"/>
    </row>
    <row r="660" spans="11:14" ht="14">
      <c r="K660" s="46"/>
      <c r="L660" s="46"/>
      <c r="M660" s="46"/>
      <c r="N660" s="46"/>
    </row>
    <row r="661" spans="11:14" ht="14">
      <c r="K661" s="46"/>
      <c r="L661" s="46"/>
      <c r="M661" s="46"/>
      <c r="N661" s="46"/>
    </row>
    <row r="662" spans="11:14" ht="14">
      <c r="K662" s="46"/>
      <c r="L662" s="46"/>
      <c r="M662" s="46"/>
      <c r="N662" s="46"/>
    </row>
    <row r="663" spans="11:14" ht="14">
      <c r="K663" s="46"/>
      <c r="L663" s="46"/>
      <c r="M663" s="46"/>
      <c r="N663" s="46"/>
    </row>
    <row r="664" spans="11:14" ht="14">
      <c r="K664" s="46"/>
      <c r="L664" s="46"/>
      <c r="M664" s="46"/>
      <c r="N664" s="46"/>
    </row>
    <row r="665" spans="11:14" ht="14">
      <c r="K665" s="46"/>
      <c r="L665" s="46"/>
      <c r="M665" s="46"/>
      <c r="N665" s="46"/>
    </row>
    <row r="666" spans="11:14" ht="14">
      <c r="K666" s="46"/>
      <c r="L666" s="46"/>
      <c r="M666" s="46"/>
      <c r="N666" s="46"/>
    </row>
    <row r="667" spans="11:14" ht="14">
      <c r="K667" s="46"/>
      <c r="L667" s="46"/>
      <c r="M667" s="46"/>
      <c r="N667" s="46"/>
    </row>
    <row r="668" spans="11:14" ht="14">
      <c r="K668" s="46"/>
      <c r="L668" s="46"/>
      <c r="M668" s="46"/>
      <c r="N668" s="46"/>
    </row>
    <row r="669" spans="11:14" ht="14">
      <c r="K669" s="46"/>
      <c r="L669" s="46"/>
      <c r="M669" s="46"/>
      <c r="N669" s="46"/>
    </row>
    <row r="670" spans="11:14" ht="14">
      <c r="K670" s="46"/>
      <c r="L670" s="46"/>
      <c r="M670" s="46"/>
      <c r="N670" s="46"/>
    </row>
    <row r="671" spans="11:14" ht="14">
      <c r="K671" s="46"/>
      <c r="L671" s="46"/>
      <c r="M671" s="46"/>
      <c r="N671" s="46"/>
    </row>
    <row r="672" spans="11:14" ht="14">
      <c r="K672" s="46"/>
      <c r="L672" s="46"/>
      <c r="M672" s="46"/>
      <c r="N672" s="46"/>
    </row>
    <row r="673" spans="11:14" ht="14">
      <c r="K673" s="46"/>
      <c r="L673" s="46"/>
      <c r="M673" s="46"/>
      <c r="N673" s="46"/>
    </row>
    <row r="674" spans="11:14" ht="14">
      <c r="K674" s="46"/>
      <c r="L674" s="46"/>
      <c r="M674" s="46"/>
      <c r="N674" s="46"/>
    </row>
    <row r="675" spans="11:14" ht="14">
      <c r="K675" s="46"/>
      <c r="L675" s="46"/>
      <c r="M675" s="46"/>
      <c r="N675" s="46"/>
    </row>
    <row r="676" spans="11:14" ht="14">
      <c r="K676" s="46"/>
      <c r="L676" s="46"/>
      <c r="M676" s="46"/>
      <c r="N676" s="46"/>
    </row>
    <row r="677" spans="11:14" ht="14">
      <c r="K677" s="46"/>
      <c r="L677" s="46"/>
      <c r="M677" s="46"/>
      <c r="N677" s="46"/>
    </row>
    <row r="678" spans="11:14" ht="14">
      <c r="K678" s="46"/>
      <c r="L678" s="46"/>
      <c r="M678" s="46"/>
      <c r="N678" s="46"/>
    </row>
    <row r="679" spans="11:14" ht="14">
      <c r="K679" s="46"/>
      <c r="L679" s="46"/>
      <c r="M679" s="46"/>
      <c r="N679" s="46"/>
    </row>
    <row r="680" spans="11:14" ht="14">
      <c r="K680" s="46"/>
      <c r="L680" s="46"/>
      <c r="M680" s="46"/>
      <c r="N680" s="46"/>
    </row>
    <row r="681" spans="11:14" ht="14">
      <c r="K681" s="46"/>
      <c r="L681" s="46"/>
      <c r="M681" s="46"/>
      <c r="N681" s="46"/>
    </row>
    <row r="682" spans="11:14" ht="14">
      <c r="K682" s="46"/>
      <c r="L682" s="46"/>
      <c r="M682" s="46"/>
      <c r="N682" s="46"/>
    </row>
    <row r="683" spans="11:14" ht="14">
      <c r="K683" s="46"/>
      <c r="L683" s="46"/>
      <c r="M683" s="46"/>
      <c r="N683" s="46"/>
    </row>
    <row r="684" spans="11:14" ht="14">
      <c r="K684" s="46"/>
      <c r="L684" s="46"/>
      <c r="M684" s="46"/>
      <c r="N684" s="46"/>
    </row>
    <row r="685" spans="11:14" ht="14">
      <c r="K685" s="46"/>
      <c r="L685" s="46"/>
      <c r="M685" s="46"/>
      <c r="N685" s="46"/>
    </row>
    <row r="686" spans="11:14" ht="14">
      <c r="K686" s="46"/>
      <c r="L686" s="46"/>
      <c r="M686" s="46"/>
      <c r="N686" s="46"/>
    </row>
    <row r="687" spans="11:14" ht="14">
      <c r="K687" s="46"/>
      <c r="L687" s="46"/>
      <c r="M687" s="46"/>
      <c r="N687" s="46"/>
    </row>
    <row r="688" spans="11:14" ht="14">
      <c r="K688" s="46"/>
      <c r="L688" s="46"/>
      <c r="M688" s="46"/>
      <c r="N688" s="46"/>
    </row>
    <row r="689" spans="11:14" ht="14">
      <c r="K689" s="46"/>
      <c r="L689" s="46"/>
      <c r="M689" s="46"/>
      <c r="N689" s="46"/>
    </row>
    <row r="690" spans="11:14" ht="14">
      <c r="K690" s="46"/>
      <c r="L690" s="46"/>
      <c r="M690" s="46"/>
      <c r="N690" s="46"/>
    </row>
    <row r="691" spans="11:14" ht="14">
      <c r="K691" s="46"/>
      <c r="L691" s="46"/>
      <c r="M691" s="46"/>
      <c r="N691" s="46"/>
    </row>
    <row r="692" spans="11:14" ht="14">
      <c r="K692" s="46"/>
      <c r="L692" s="46"/>
      <c r="M692" s="46"/>
      <c r="N692" s="46"/>
    </row>
    <row r="693" spans="11:14" ht="14">
      <c r="K693" s="46"/>
      <c r="L693" s="46"/>
      <c r="M693" s="46"/>
      <c r="N693" s="46"/>
    </row>
    <row r="694" spans="11:14" ht="14">
      <c r="K694" s="46"/>
      <c r="L694" s="46"/>
      <c r="M694" s="46"/>
      <c r="N694" s="46"/>
    </row>
    <row r="695" spans="11:14" ht="14">
      <c r="K695" s="46"/>
      <c r="L695" s="46"/>
      <c r="M695" s="46"/>
      <c r="N695" s="46"/>
    </row>
    <row r="696" spans="11:14" ht="14">
      <c r="K696" s="46"/>
      <c r="L696" s="46"/>
      <c r="M696" s="46"/>
      <c r="N696" s="46"/>
    </row>
    <row r="697" spans="11:14" ht="14">
      <c r="K697" s="46"/>
      <c r="L697" s="46"/>
      <c r="M697" s="46"/>
      <c r="N697" s="46"/>
    </row>
    <row r="698" spans="11:14" ht="14">
      <c r="K698" s="46"/>
      <c r="L698" s="46"/>
      <c r="M698" s="46"/>
      <c r="N698" s="46"/>
    </row>
    <row r="699" spans="11:14" ht="14">
      <c r="K699" s="46"/>
      <c r="L699" s="46"/>
      <c r="M699" s="46"/>
      <c r="N699" s="46"/>
    </row>
    <row r="700" spans="11:14" ht="14">
      <c r="K700" s="46"/>
      <c r="L700" s="46"/>
      <c r="M700" s="46"/>
      <c r="N700" s="46"/>
    </row>
    <row r="701" spans="11:14" ht="14">
      <c r="K701" s="46"/>
      <c r="L701" s="46"/>
      <c r="M701" s="46"/>
      <c r="N701" s="46"/>
    </row>
    <row r="702" spans="11:14" ht="14">
      <c r="K702" s="46"/>
      <c r="L702" s="46"/>
      <c r="M702" s="46"/>
      <c r="N702" s="46"/>
    </row>
    <row r="703" spans="11:14" ht="14">
      <c r="K703" s="46"/>
      <c r="L703" s="46"/>
      <c r="M703" s="46"/>
      <c r="N703" s="46"/>
    </row>
    <row r="704" spans="11:14" ht="14">
      <c r="K704" s="46"/>
      <c r="L704" s="46"/>
      <c r="M704" s="46"/>
      <c r="N704" s="46"/>
    </row>
    <row r="705" spans="11:14" ht="14">
      <c r="K705" s="46"/>
      <c r="L705" s="46"/>
      <c r="M705" s="46"/>
      <c r="N705" s="46"/>
    </row>
    <row r="706" spans="11:14" ht="14">
      <c r="K706" s="46"/>
      <c r="L706" s="46"/>
      <c r="M706" s="46"/>
      <c r="N706" s="46"/>
    </row>
    <row r="707" spans="11:14" ht="14">
      <c r="K707" s="46"/>
      <c r="L707" s="46"/>
      <c r="M707" s="46"/>
      <c r="N707" s="46"/>
    </row>
    <row r="708" spans="11:14" ht="14">
      <c r="K708" s="46"/>
      <c r="L708" s="46"/>
      <c r="M708" s="46"/>
      <c r="N708" s="46"/>
    </row>
    <row r="709" spans="11:14" ht="14">
      <c r="K709" s="46"/>
      <c r="L709" s="46"/>
      <c r="M709" s="46"/>
      <c r="N709" s="46"/>
    </row>
    <row r="710" spans="11:14" ht="14">
      <c r="K710" s="46"/>
      <c r="L710" s="46"/>
      <c r="M710" s="46"/>
      <c r="N710" s="46"/>
    </row>
    <row r="711" spans="11:14" ht="14">
      <c r="K711" s="46"/>
      <c r="L711" s="46"/>
      <c r="M711" s="46"/>
      <c r="N711" s="46"/>
    </row>
    <row r="712" spans="11:14" ht="14">
      <c r="K712" s="46"/>
      <c r="L712" s="46"/>
      <c r="M712" s="46"/>
      <c r="N712" s="46"/>
    </row>
    <row r="713" spans="11:14" ht="14">
      <c r="K713" s="46"/>
      <c r="L713" s="46"/>
      <c r="M713" s="46"/>
      <c r="N713" s="46"/>
    </row>
    <row r="714" spans="11:14" ht="14">
      <c r="K714" s="46"/>
      <c r="L714" s="46"/>
      <c r="M714" s="46"/>
      <c r="N714" s="46"/>
    </row>
    <row r="715" spans="11:14" ht="14">
      <c r="K715" s="46"/>
      <c r="L715" s="46"/>
      <c r="M715" s="46"/>
      <c r="N715" s="46"/>
    </row>
    <row r="716" spans="11:14" ht="14">
      <c r="K716" s="46"/>
      <c r="L716" s="46"/>
      <c r="M716" s="46"/>
      <c r="N716" s="46"/>
    </row>
    <row r="717" spans="11:14" ht="14">
      <c r="K717" s="46"/>
      <c r="L717" s="46"/>
      <c r="M717" s="46"/>
      <c r="N717" s="46"/>
    </row>
    <row r="718" spans="11:14" ht="14">
      <c r="K718" s="46"/>
      <c r="L718" s="46"/>
      <c r="M718" s="46"/>
      <c r="N718" s="46"/>
    </row>
    <row r="719" spans="11:14" ht="14">
      <c r="K719" s="46"/>
      <c r="L719" s="46"/>
      <c r="M719" s="46"/>
      <c r="N719" s="46"/>
    </row>
    <row r="720" spans="11:14" ht="14">
      <c r="K720" s="46"/>
      <c r="L720" s="46"/>
      <c r="M720" s="46"/>
      <c r="N720" s="46"/>
    </row>
    <row r="721" spans="11:14" ht="14">
      <c r="K721" s="46"/>
      <c r="L721" s="46"/>
      <c r="M721" s="46"/>
      <c r="N721" s="46"/>
    </row>
    <row r="722" spans="11:14" ht="14">
      <c r="K722" s="46"/>
      <c r="L722" s="46"/>
      <c r="M722" s="46"/>
      <c r="N722" s="46"/>
    </row>
    <row r="723" spans="11:14" ht="14">
      <c r="K723" s="46"/>
      <c r="L723" s="46"/>
      <c r="M723" s="46"/>
      <c r="N723" s="46"/>
    </row>
    <row r="724" spans="11:14" ht="14">
      <c r="K724" s="46"/>
      <c r="L724" s="46"/>
      <c r="M724" s="46"/>
      <c r="N724" s="46"/>
    </row>
    <row r="725" spans="11:14" ht="14">
      <c r="K725" s="46"/>
      <c r="L725" s="46"/>
      <c r="M725" s="46"/>
      <c r="N725" s="46"/>
    </row>
    <row r="726" spans="11:14" ht="14">
      <c r="K726" s="46"/>
      <c r="L726" s="46"/>
      <c r="M726" s="46"/>
      <c r="N726" s="46"/>
    </row>
    <row r="727" spans="11:14" ht="14">
      <c r="K727" s="46"/>
      <c r="L727" s="46"/>
      <c r="M727" s="46"/>
      <c r="N727" s="46"/>
    </row>
    <row r="728" spans="11:14" ht="14">
      <c r="K728" s="46"/>
      <c r="L728" s="46"/>
      <c r="M728" s="46"/>
      <c r="N728" s="46"/>
    </row>
    <row r="729" spans="11:14" ht="14">
      <c r="K729" s="46"/>
      <c r="L729" s="46"/>
      <c r="M729" s="46"/>
      <c r="N729" s="46"/>
    </row>
    <row r="730" spans="11:14" ht="14">
      <c r="K730" s="46"/>
      <c r="L730" s="46"/>
      <c r="M730" s="46"/>
      <c r="N730" s="46"/>
    </row>
    <row r="731" spans="11:14" ht="14">
      <c r="K731" s="46"/>
      <c r="L731" s="46"/>
      <c r="M731" s="46"/>
      <c r="N731" s="46"/>
    </row>
    <row r="732" spans="11:14" ht="14">
      <c r="K732" s="46"/>
      <c r="L732" s="46"/>
      <c r="M732" s="46"/>
      <c r="N732" s="46"/>
    </row>
    <row r="733" spans="11:14" ht="14">
      <c r="K733" s="46"/>
      <c r="L733" s="46"/>
      <c r="M733" s="46"/>
      <c r="N733" s="46"/>
    </row>
    <row r="734" spans="11:14" ht="14">
      <c r="K734" s="46"/>
      <c r="L734" s="46"/>
      <c r="M734" s="46"/>
      <c r="N734" s="46"/>
    </row>
    <row r="735" spans="11:14" ht="14">
      <c r="K735" s="46"/>
      <c r="L735" s="46"/>
      <c r="M735" s="46"/>
      <c r="N735" s="46"/>
    </row>
    <row r="736" spans="11:14" ht="14">
      <c r="K736" s="46"/>
      <c r="L736" s="46"/>
      <c r="M736" s="46"/>
      <c r="N736" s="46"/>
    </row>
    <row r="737" spans="11:14" ht="14">
      <c r="K737" s="46"/>
      <c r="L737" s="46"/>
      <c r="M737" s="46"/>
      <c r="N737" s="46"/>
    </row>
    <row r="738" spans="11:14" ht="14">
      <c r="K738" s="46"/>
      <c r="L738" s="46"/>
      <c r="M738" s="46"/>
      <c r="N738" s="46"/>
    </row>
    <row r="739" spans="11:14" ht="14">
      <c r="K739" s="46"/>
      <c r="L739" s="46"/>
      <c r="M739" s="46"/>
      <c r="N739" s="46"/>
    </row>
    <row r="740" spans="11:14" ht="14">
      <c r="K740" s="46"/>
      <c r="L740" s="46"/>
      <c r="M740" s="46"/>
      <c r="N740" s="46"/>
    </row>
    <row r="741" spans="11:14" ht="14">
      <c r="K741" s="46"/>
      <c r="L741" s="46"/>
      <c r="M741" s="46"/>
      <c r="N741" s="46"/>
    </row>
    <row r="742" spans="11:14" ht="14">
      <c r="K742" s="46"/>
      <c r="L742" s="46"/>
      <c r="M742" s="46"/>
      <c r="N742" s="46"/>
    </row>
    <row r="743" spans="11:14" ht="14">
      <c r="K743" s="46"/>
      <c r="L743" s="46"/>
      <c r="M743" s="46"/>
      <c r="N743" s="46"/>
    </row>
    <row r="744" spans="11:14" ht="14">
      <c r="K744" s="46"/>
      <c r="L744" s="46"/>
      <c r="M744" s="46"/>
      <c r="N744" s="46"/>
    </row>
    <row r="745" spans="11:14" ht="14">
      <c r="K745" s="46"/>
      <c r="L745" s="46"/>
      <c r="M745" s="46"/>
      <c r="N745" s="46"/>
    </row>
    <row r="746" spans="11:14" ht="14">
      <c r="K746" s="46"/>
      <c r="L746" s="46"/>
      <c r="M746" s="46"/>
      <c r="N746" s="46"/>
    </row>
    <row r="747" spans="11:14" ht="14">
      <c r="K747" s="46"/>
      <c r="L747" s="46"/>
      <c r="M747" s="46"/>
      <c r="N747" s="46"/>
    </row>
    <row r="748" spans="11:14" ht="14">
      <c r="K748" s="46"/>
      <c r="L748" s="46"/>
      <c r="M748" s="46"/>
      <c r="N748" s="46"/>
    </row>
    <row r="749" spans="11:14" ht="14">
      <c r="K749" s="46"/>
      <c r="L749" s="46"/>
      <c r="M749" s="46"/>
      <c r="N749" s="46"/>
    </row>
    <row r="750" spans="11:14" ht="14">
      <c r="K750" s="46"/>
      <c r="L750" s="46"/>
      <c r="M750" s="46"/>
      <c r="N750" s="46"/>
    </row>
    <row r="751" spans="11:14" ht="14">
      <c r="K751" s="46"/>
      <c r="L751" s="46"/>
      <c r="M751" s="46"/>
      <c r="N751" s="46"/>
    </row>
    <row r="752" spans="11:14" ht="14">
      <c r="K752" s="46"/>
      <c r="L752" s="46"/>
      <c r="M752" s="46"/>
      <c r="N752" s="46"/>
    </row>
    <row r="753" spans="11:14" ht="14">
      <c r="K753" s="46"/>
      <c r="L753" s="46"/>
      <c r="M753" s="46"/>
      <c r="N753" s="46"/>
    </row>
    <row r="754" spans="11:14" ht="14">
      <c r="K754" s="46"/>
      <c r="L754" s="46"/>
      <c r="M754" s="46"/>
      <c r="N754" s="46"/>
    </row>
    <row r="755" spans="11:14" ht="14">
      <c r="K755" s="46"/>
      <c r="L755" s="46"/>
      <c r="M755" s="46"/>
      <c r="N755" s="46"/>
    </row>
    <row r="756" spans="11:14" ht="14">
      <c r="K756" s="46"/>
      <c r="L756" s="46"/>
      <c r="M756" s="46"/>
      <c r="N756" s="46"/>
    </row>
    <row r="757" spans="11:14" ht="14">
      <c r="K757" s="46"/>
      <c r="L757" s="46"/>
      <c r="M757" s="46"/>
      <c r="N757" s="46"/>
    </row>
    <row r="758" spans="11:14" ht="14">
      <c r="K758" s="46"/>
      <c r="L758" s="46"/>
      <c r="M758" s="46"/>
      <c r="N758" s="46"/>
    </row>
    <row r="759" spans="11:14" ht="14">
      <c r="K759" s="46"/>
      <c r="L759" s="46"/>
      <c r="M759" s="46"/>
      <c r="N759" s="46"/>
    </row>
    <row r="760" spans="11:14" ht="14">
      <c r="K760" s="46"/>
      <c r="L760" s="46"/>
      <c r="M760" s="46"/>
      <c r="N760" s="46"/>
    </row>
    <row r="761" spans="11:14" ht="14">
      <c r="K761" s="46"/>
      <c r="L761" s="46"/>
      <c r="M761" s="46"/>
      <c r="N761" s="46"/>
    </row>
    <row r="762" spans="11:14" ht="14">
      <c r="K762" s="46"/>
      <c r="L762" s="46"/>
      <c r="M762" s="46"/>
      <c r="N762" s="46"/>
    </row>
    <row r="763" spans="11:14" ht="14">
      <c r="K763" s="46"/>
      <c r="L763" s="46"/>
      <c r="M763" s="46"/>
      <c r="N763" s="46"/>
    </row>
    <row r="764" spans="11:14" ht="14">
      <c r="K764" s="46"/>
      <c r="L764" s="46"/>
      <c r="M764" s="46"/>
      <c r="N764" s="46"/>
    </row>
    <row r="765" spans="11:14" ht="14">
      <c r="K765" s="46"/>
      <c r="L765" s="46"/>
      <c r="M765" s="46"/>
      <c r="N765" s="46"/>
    </row>
    <row r="766" spans="11:14" ht="14">
      <c r="K766" s="46"/>
      <c r="L766" s="46"/>
      <c r="M766" s="46"/>
      <c r="N766" s="46"/>
    </row>
    <row r="767" spans="11:14" ht="14">
      <c r="K767" s="46"/>
      <c r="L767" s="46"/>
      <c r="M767" s="46"/>
      <c r="N767" s="46"/>
    </row>
    <row r="768" spans="11:14" ht="14">
      <c r="K768" s="46"/>
      <c r="L768" s="46"/>
      <c r="M768" s="46"/>
      <c r="N768" s="46"/>
    </row>
    <row r="769" spans="11:14" ht="14">
      <c r="K769" s="46"/>
      <c r="L769" s="46"/>
      <c r="M769" s="46"/>
      <c r="N769" s="46"/>
    </row>
    <row r="770" spans="11:14" ht="14">
      <c r="K770" s="46"/>
      <c r="L770" s="46"/>
      <c r="M770" s="46"/>
      <c r="N770" s="46"/>
    </row>
    <row r="771" spans="11:14" ht="14">
      <c r="K771" s="46"/>
      <c r="L771" s="46"/>
      <c r="M771" s="46"/>
      <c r="N771" s="46"/>
    </row>
    <row r="772" spans="11:14" ht="14">
      <c r="K772" s="46"/>
      <c r="L772" s="46"/>
      <c r="M772" s="46"/>
      <c r="N772" s="46"/>
    </row>
    <row r="773" spans="11:14" ht="14">
      <c r="K773" s="46"/>
      <c r="L773" s="46"/>
      <c r="M773" s="46"/>
      <c r="N773" s="46"/>
    </row>
    <row r="774" spans="11:14" ht="14">
      <c r="K774" s="46"/>
      <c r="L774" s="46"/>
      <c r="M774" s="46"/>
      <c r="N774" s="46"/>
    </row>
    <row r="775" spans="11:14" ht="14">
      <c r="K775" s="46"/>
      <c r="L775" s="46"/>
      <c r="M775" s="46"/>
      <c r="N775" s="46"/>
    </row>
    <row r="776" spans="11:14" ht="14">
      <c r="K776" s="46"/>
      <c r="L776" s="46"/>
      <c r="M776" s="46"/>
      <c r="N776" s="46"/>
    </row>
    <row r="777" spans="11:14" ht="14">
      <c r="K777" s="46"/>
      <c r="L777" s="46"/>
      <c r="M777" s="46"/>
      <c r="N777" s="46"/>
    </row>
    <row r="778" spans="11:14" ht="14">
      <c r="K778" s="46"/>
      <c r="L778" s="46"/>
      <c r="M778" s="46"/>
      <c r="N778" s="46"/>
    </row>
    <row r="779" spans="11:14" ht="14">
      <c r="K779" s="46"/>
      <c r="L779" s="46"/>
      <c r="M779" s="46"/>
      <c r="N779" s="46"/>
    </row>
    <row r="780" spans="11:14" ht="14">
      <c r="K780" s="46"/>
      <c r="L780" s="46"/>
      <c r="M780" s="46"/>
      <c r="N780" s="46"/>
    </row>
    <row r="781" spans="11:14" ht="14">
      <c r="K781" s="46"/>
      <c r="L781" s="46"/>
      <c r="M781" s="46"/>
      <c r="N781" s="46"/>
    </row>
    <row r="782" spans="11:14" ht="14">
      <c r="K782" s="46"/>
      <c r="L782" s="46"/>
      <c r="M782" s="46"/>
      <c r="N782" s="46"/>
    </row>
    <row r="783" spans="11:14" ht="14">
      <c r="K783" s="46"/>
      <c r="L783" s="46"/>
      <c r="M783" s="46"/>
      <c r="N783" s="46"/>
    </row>
    <row r="784" spans="11:14" ht="14">
      <c r="K784" s="46"/>
      <c r="L784" s="46"/>
      <c r="M784" s="46"/>
      <c r="N784" s="46"/>
    </row>
    <row r="785" spans="11:14" ht="14">
      <c r="K785" s="46"/>
      <c r="L785" s="46"/>
      <c r="M785" s="46"/>
      <c r="N785" s="46"/>
    </row>
    <row r="786" spans="11:14" ht="14">
      <c r="K786" s="46"/>
      <c r="L786" s="46"/>
      <c r="M786" s="46"/>
      <c r="N786" s="46"/>
    </row>
    <row r="787" spans="11:14" ht="14">
      <c r="K787" s="46"/>
      <c r="L787" s="46"/>
      <c r="M787" s="46"/>
      <c r="N787" s="46"/>
    </row>
    <row r="788" spans="11:14" ht="14">
      <c r="K788" s="46"/>
      <c r="L788" s="46"/>
      <c r="M788" s="46"/>
      <c r="N788" s="46"/>
    </row>
    <row r="789" spans="11:14" ht="14">
      <c r="K789" s="46"/>
      <c r="L789" s="46"/>
      <c r="M789" s="46"/>
      <c r="N789" s="46"/>
    </row>
    <row r="790" spans="11:14" ht="14">
      <c r="K790" s="46"/>
      <c r="L790" s="46"/>
      <c r="M790" s="46"/>
      <c r="N790" s="46"/>
    </row>
    <row r="791" spans="11:14" ht="14">
      <c r="K791" s="46"/>
      <c r="L791" s="46"/>
      <c r="M791" s="46"/>
      <c r="N791" s="46"/>
    </row>
    <row r="792" spans="11:14" ht="14">
      <c r="K792" s="46"/>
      <c r="L792" s="46"/>
      <c r="M792" s="46"/>
      <c r="N792" s="46"/>
    </row>
    <row r="793" spans="11:14" ht="14">
      <c r="K793" s="46"/>
      <c r="L793" s="46"/>
      <c r="M793" s="46"/>
      <c r="N793" s="46"/>
    </row>
    <row r="794" spans="11:14" ht="14">
      <c r="K794" s="46"/>
      <c r="L794" s="46"/>
      <c r="M794" s="46"/>
      <c r="N794" s="46"/>
    </row>
    <row r="795" spans="11:14" ht="14">
      <c r="K795" s="46"/>
      <c r="L795" s="46"/>
      <c r="M795" s="46"/>
      <c r="N795" s="46"/>
    </row>
    <row r="796" spans="11:14" ht="14">
      <c r="K796" s="46"/>
      <c r="L796" s="46"/>
      <c r="M796" s="46"/>
      <c r="N796" s="46"/>
    </row>
    <row r="797" spans="11:14" ht="14">
      <c r="K797" s="46"/>
      <c r="L797" s="46"/>
      <c r="M797" s="46"/>
      <c r="N797" s="46"/>
    </row>
    <row r="798" spans="11:14" ht="14">
      <c r="K798" s="46"/>
      <c r="L798" s="46"/>
      <c r="M798" s="46"/>
      <c r="N798" s="46"/>
    </row>
    <row r="799" spans="11:14" ht="14">
      <c r="K799" s="46"/>
      <c r="L799" s="46"/>
      <c r="M799" s="46"/>
      <c r="N799" s="46"/>
    </row>
    <row r="800" spans="11:14" ht="14">
      <c r="K800" s="46"/>
      <c r="L800" s="46"/>
      <c r="M800" s="46"/>
      <c r="N800" s="46"/>
    </row>
    <row r="801" spans="11:14" ht="14">
      <c r="K801" s="46"/>
      <c r="L801" s="46"/>
      <c r="M801" s="46"/>
      <c r="N801" s="46"/>
    </row>
    <row r="802" spans="11:14" ht="14">
      <c r="K802" s="46"/>
      <c r="L802" s="46"/>
      <c r="M802" s="46"/>
      <c r="N802" s="46"/>
    </row>
    <row r="803" spans="11:14" ht="14">
      <c r="K803" s="46"/>
      <c r="L803" s="46"/>
      <c r="M803" s="46"/>
      <c r="N803" s="46"/>
    </row>
    <row r="804" spans="11:14" ht="14">
      <c r="K804" s="46"/>
      <c r="L804" s="46"/>
      <c r="M804" s="46"/>
      <c r="N804" s="46"/>
    </row>
    <row r="805" spans="11:14" ht="14">
      <c r="K805" s="46"/>
      <c r="L805" s="46"/>
      <c r="M805" s="46"/>
      <c r="N805" s="46"/>
    </row>
    <row r="806" spans="11:14" ht="14">
      <c r="K806" s="46"/>
      <c r="L806" s="46"/>
      <c r="M806" s="46"/>
      <c r="N806" s="46"/>
    </row>
    <row r="807" spans="11:14" ht="14">
      <c r="K807" s="46"/>
      <c r="L807" s="46"/>
      <c r="M807" s="46"/>
      <c r="N807" s="46"/>
    </row>
    <row r="808" spans="11:14" ht="14">
      <c r="K808" s="46"/>
      <c r="L808" s="46"/>
      <c r="M808" s="46"/>
      <c r="N808" s="46"/>
    </row>
    <row r="809" spans="11:14" ht="14">
      <c r="K809" s="46"/>
      <c r="L809" s="46"/>
      <c r="M809" s="46"/>
      <c r="N809" s="46"/>
    </row>
    <row r="810" spans="11:14" ht="14">
      <c r="K810" s="46"/>
      <c r="L810" s="46"/>
      <c r="M810" s="46"/>
      <c r="N810" s="46"/>
    </row>
    <row r="811" spans="11:14" ht="14">
      <c r="K811" s="46"/>
      <c r="L811" s="46"/>
      <c r="M811" s="46"/>
      <c r="N811" s="46"/>
    </row>
    <row r="812" spans="11:14" ht="14">
      <c r="K812" s="46"/>
      <c r="L812" s="46"/>
      <c r="M812" s="46"/>
      <c r="N812" s="46"/>
    </row>
    <row r="813" spans="11:14" ht="14">
      <c r="K813" s="46"/>
      <c r="L813" s="46"/>
      <c r="M813" s="46"/>
      <c r="N813" s="46"/>
    </row>
    <row r="814" spans="11:14" ht="14">
      <c r="K814" s="46"/>
      <c r="L814" s="46"/>
      <c r="M814" s="46"/>
      <c r="N814" s="46"/>
    </row>
    <row r="815" spans="11:14" ht="14">
      <c r="K815" s="46"/>
      <c r="L815" s="46"/>
      <c r="M815" s="46"/>
      <c r="N815" s="46"/>
    </row>
    <row r="816" spans="11:14" ht="14">
      <c r="K816" s="46"/>
      <c r="L816" s="46"/>
      <c r="M816" s="46"/>
      <c r="N816" s="46"/>
    </row>
    <row r="817" spans="11:14" ht="14">
      <c r="K817" s="46"/>
      <c r="L817" s="46"/>
      <c r="M817" s="46"/>
      <c r="N817" s="46"/>
    </row>
    <row r="818" spans="11:14" ht="14">
      <c r="K818" s="46"/>
      <c r="L818" s="46"/>
      <c r="M818" s="46"/>
      <c r="N818" s="46"/>
    </row>
    <row r="819" spans="11:14" ht="14">
      <c r="K819" s="46"/>
      <c r="L819" s="46"/>
      <c r="M819" s="46"/>
      <c r="N819" s="46"/>
    </row>
    <row r="820" spans="11:14" ht="14">
      <c r="K820" s="46"/>
      <c r="L820" s="46"/>
      <c r="M820" s="46"/>
      <c r="N820" s="46"/>
    </row>
    <row r="821" spans="11:14" ht="14">
      <c r="K821" s="46"/>
      <c r="L821" s="46"/>
      <c r="M821" s="46"/>
      <c r="N821" s="46"/>
    </row>
    <row r="822" spans="11:14" ht="14">
      <c r="K822" s="46"/>
      <c r="L822" s="46"/>
      <c r="M822" s="46"/>
      <c r="N822" s="46"/>
    </row>
    <row r="823" spans="11:14" ht="14">
      <c r="K823" s="46"/>
      <c r="L823" s="46"/>
      <c r="M823" s="46"/>
      <c r="N823" s="46"/>
    </row>
    <row r="824" spans="11:14" ht="14">
      <c r="K824" s="46"/>
      <c r="L824" s="46"/>
      <c r="M824" s="46"/>
      <c r="N824" s="46"/>
    </row>
    <row r="825" spans="11:14" ht="14">
      <c r="K825" s="46"/>
      <c r="L825" s="46"/>
      <c r="M825" s="46"/>
      <c r="N825" s="46"/>
    </row>
    <row r="826" spans="11:14" ht="14">
      <c r="K826" s="46"/>
      <c r="L826" s="46"/>
      <c r="M826" s="46"/>
      <c r="N826" s="46"/>
    </row>
    <row r="827" spans="11:14" ht="14">
      <c r="K827" s="46"/>
      <c r="L827" s="46"/>
      <c r="M827" s="46"/>
      <c r="N827" s="46"/>
    </row>
    <row r="828" spans="11:14" ht="14">
      <c r="K828" s="46"/>
      <c r="L828" s="46"/>
      <c r="M828" s="46"/>
      <c r="N828" s="46"/>
    </row>
    <row r="829" spans="11:14" ht="14">
      <c r="K829" s="46"/>
      <c r="L829" s="46"/>
      <c r="M829" s="46"/>
      <c r="N829" s="46"/>
    </row>
    <row r="830" spans="11:14" ht="14">
      <c r="K830" s="46"/>
      <c r="L830" s="46"/>
      <c r="M830" s="46"/>
      <c r="N830" s="46"/>
    </row>
    <row r="831" spans="11:14" ht="14">
      <c r="K831" s="46"/>
      <c r="L831" s="46"/>
      <c r="M831" s="46"/>
      <c r="N831" s="46"/>
    </row>
    <row r="832" spans="11:14" ht="14">
      <c r="K832" s="46"/>
      <c r="L832" s="46"/>
      <c r="M832" s="46"/>
      <c r="N832" s="46"/>
    </row>
    <row r="833" spans="11:14" ht="14">
      <c r="K833" s="46"/>
      <c r="L833" s="46"/>
      <c r="M833" s="46"/>
      <c r="N833" s="46"/>
    </row>
    <row r="834" spans="11:14" ht="14">
      <c r="K834" s="46"/>
      <c r="L834" s="46"/>
      <c r="M834" s="46"/>
      <c r="N834" s="46"/>
    </row>
    <row r="835" spans="11:14" ht="14">
      <c r="K835" s="46"/>
      <c r="L835" s="46"/>
      <c r="M835" s="46"/>
      <c r="N835" s="46"/>
    </row>
    <row r="836" spans="11:14" ht="14">
      <c r="K836" s="46"/>
      <c r="L836" s="46"/>
      <c r="M836" s="46"/>
      <c r="N836" s="46"/>
    </row>
    <row r="837" spans="11:14" ht="14">
      <c r="K837" s="46"/>
      <c r="L837" s="46"/>
      <c r="M837" s="46"/>
      <c r="N837" s="46"/>
    </row>
    <row r="838" spans="11:14" ht="14">
      <c r="K838" s="46"/>
      <c r="L838" s="46"/>
      <c r="M838" s="46"/>
      <c r="N838" s="46"/>
    </row>
    <row r="839" spans="11:14" ht="14">
      <c r="K839" s="46"/>
      <c r="L839" s="46"/>
      <c r="M839" s="46"/>
      <c r="N839" s="46"/>
    </row>
    <row r="840" spans="11:14" ht="14">
      <c r="K840" s="46"/>
      <c r="L840" s="46"/>
      <c r="M840" s="46"/>
      <c r="N840" s="46"/>
    </row>
    <row r="841" spans="11:14" ht="14">
      <c r="K841" s="46"/>
      <c r="L841" s="46"/>
      <c r="M841" s="46"/>
      <c r="N841" s="46"/>
    </row>
    <row r="842" spans="11:14" ht="14">
      <c r="K842" s="46"/>
      <c r="L842" s="46"/>
      <c r="M842" s="46"/>
      <c r="N842" s="46"/>
    </row>
    <row r="843" spans="11:14" ht="14">
      <c r="K843" s="46"/>
      <c r="L843" s="46"/>
      <c r="M843" s="46"/>
      <c r="N843" s="46"/>
    </row>
    <row r="844" spans="11:14" ht="14">
      <c r="K844" s="46"/>
      <c r="L844" s="46"/>
      <c r="M844" s="46"/>
      <c r="N844" s="46"/>
    </row>
    <row r="845" spans="11:14" ht="14">
      <c r="K845" s="46"/>
      <c r="L845" s="46"/>
      <c r="M845" s="46"/>
      <c r="N845" s="46"/>
    </row>
    <row r="846" spans="11:14" ht="14">
      <c r="K846" s="46"/>
      <c r="L846" s="46"/>
      <c r="M846" s="46"/>
      <c r="N846" s="46"/>
    </row>
    <row r="847" spans="11:14" ht="14">
      <c r="K847" s="46"/>
      <c r="L847" s="46"/>
      <c r="M847" s="46"/>
      <c r="N847" s="46"/>
    </row>
    <row r="848" spans="11:14" ht="14">
      <c r="K848" s="46"/>
      <c r="L848" s="46"/>
      <c r="M848" s="46"/>
      <c r="N848" s="46"/>
    </row>
    <row r="849" spans="11:14" ht="14">
      <c r="K849" s="46"/>
      <c r="L849" s="46"/>
      <c r="M849" s="46"/>
      <c r="N849" s="46"/>
    </row>
    <row r="850" spans="11:14" ht="14">
      <c r="K850" s="46"/>
      <c r="L850" s="46"/>
      <c r="M850" s="46"/>
      <c r="N850" s="46"/>
    </row>
    <row r="851" spans="11:14" ht="14">
      <c r="K851" s="46"/>
      <c r="L851" s="46"/>
      <c r="M851" s="46"/>
      <c r="N851" s="46"/>
    </row>
    <row r="852" spans="11:14" ht="14">
      <c r="K852" s="46"/>
      <c r="L852" s="46"/>
      <c r="M852" s="46"/>
      <c r="N852" s="46"/>
    </row>
    <row r="853" spans="11:14" ht="14">
      <c r="K853" s="46"/>
      <c r="L853" s="46"/>
      <c r="M853" s="46"/>
      <c r="N853" s="46"/>
    </row>
    <row r="854" spans="11:14" ht="14">
      <c r="K854" s="46"/>
      <c r="L854" s="46"/>
      <c r="M854" s="46"/>
      <c r="N854" s="46"/>
    </row>
    <row r="855" spans="11:14" ht="14">
      <c r="K855" s="46"/>
      <c r="L855" s="46"/>
      <c r="M855" s="46"/>
      <c r="N855" s="46"/>
    </row>
    <row r="856" spans="11:14" ht="14">
      <c r="K856" s="46"/>
      <c r="L856" s="46"/>
      <c r="M856" s="46"/>
      <c r="N856" s="46"/>
    </row>
    <row r="857" spans="11:14" ht="14">
      <c r="K857" s="46"/>
      <c r="L857" s="46"/>
      <c r="M857" s="46"/>
      <c r="N857" s="46"/>
    </row>
    <row r="858" spans="11:14" ht="14">
      <c r="K858" s="46"/>
      <c r="L858" s="46"/>
      <c r="M858" s="46"/>
      <c r="N858" s="46"/>
    </row>
    <row r="859" spans="11:14" ht="14">
      <c r="K859" s="46"/>
      <c r="L859" s="46"/>
      <c r="M859" s="46"/>
      <c r="N859" s="46"/>
    </row>
    <row r="860" spans="11:14" ht="14">
      <c r="K860" s="46"/>
      <c r="L860" s="46"/>
      <c r="M860" s="46"/>
      <c r="N860" s="46"/>
    </row>
    <row r="861" spans="11:14" ht="14">
      <c r="K861" s="46"/>
      <c r="L861" s="46"/>
      <c r="M861" s="46"/>
      <c r="N861" s="46"/>
    </row>
    <row r="862" spans="11:14" ht="14">
      <c r="K862" s="46"/>
      <c r="L862" s="46"/>
      <c r="M862" s="46"/>
      <c r="N862" s="46"/>
    </row>
    <row r="863" spans="11:14" ht="14">
      <c r="K863" s="46"/>
      <c r="L863" s="46"/>
      <c r="M863" s="46"/>
      <c r="N863" s="46"/>
    </row>
    <row r="864" spans="11:14" ht="14">
      <c r="K864" s="46"/>
      <c r="L864" s="46"/>
      <c r="M864" s="46"/>
      <c r="N864" s="46"/>
    </row>
    <row r="865" spans="11:14" ht="14">
      <c r="K865" s="46"/>
      <c r="L865" s="46"/>
      <c r="M865" s="46"/>
      <c r="N865" s="46"/>
    </row>
    <row r="866" spans="11:14" ht="14">
      <c r="K866" s="46"/>
      <c r="L866" s="46"/>
      <c r="M866" s="46"/>
      <c r="N866" s="46"/>
    </row>
    <row r="867" spans="11:14" ht="14">
      <c r="K867" s="46"/>
      <c r="L867" s="46"/>
      <c r="M867" s="46"/>
      <c r="N867" s="46"/>
    </row>
    <row r="868" spans="11:14" ht="14">
      <c r="K868" s="46"/>
      <c r="L868" s="46"/>
      <c r="M868" s="46"/>
      <c r="N868" s="46"/>
    </row>
    <row r="869" spans="11:14" ht="14">
      <c r="K869" s="46"/>
      <c r="L869" s="46"/>
      <c r="M869" s="46"/>
      <c r="N869" s="46"/>
    </row>
    <row r="870" spans="11:14" ht="14">
      <c r="K870" s="46"/>
      <c r="L870" s="46"/>
      <c r="M870" s="46"/>
      <c r="N870" s="46"/>
    </row>
    <row r="871" spans="11:14" ht="14">
      <c r="K871" s="46"/>
      <c r="L871" s="46"/>
      <c r="M871" s="46"/>
      <c r="N871" s="46"/>
    </row>
    <row r="872" spans="11:14" ht="14">
      <c r="K872" s="46"/>
      <c r="L872" s="46"/>
      <c r="M872" s="46"/>
      <c r="N872" s="46"/>
    </row>
    <row r="873" spans="11:14" ht="14">
      <c r="K873" s="46"/>
      <c r="L873" s="46"/>
      <c r="M873" s="46"/>
      <c r="N873" s="46"/>
    </row>
    <row r="874" spans="11:14" ht="14">
      <c r="K874" s="46"/>
      <c r="L874" s="46"/>
      <c r="M874" s="46"/>
      <c r="N874" s="46"/>
    </row>
    <row r="875" spans="11:14" ht="14">
      <c r="K875" s="46"/>
      <c r="L875" s="46"/>
      <c r="M875" s="46"/>
      <c r="N875" s="46"/>
    </row>
    <row r="876" spans="11:14" ht="14">
      <c r="K876" s="46"/>
      <c r="L876" s="46"/>
      <c r="M876" s="46"/>
      <c r="N876" s="46"/>
    </row>
    <row r="877" spans="11:14" ht="14">
      <c r="K877" s="46"/>
      <c r="L877" s="46"/>
      <c r="M877" s="46"/>
      <c r="N877" s="46"/>
    </row>
    <row r="878" spans="11:14" ht="14">
      <c r="K878" s="46"/>
      <c r="L878" s="46"/>
      <c r="M878" s="46"/>
      <c r="N878" s="46"/>
    </row>
    <row r="879" spans="11:14" ht="14">
      <c r="K879" s="46"/>
      <c r="L879" s="46"/>
      <c r="M879" s="46"/>
      <c r="N879" s="46"/>
    </row>
    <row r="880" spans="11:14" ht="14">
      <c r="K880" s="46"/>
      <c r="L880" s="46"/>
      <c r="M880" s="46"/>
      <c r="N880" s="46"/>
    </row>
    <row r="881" spans="11:14" ht="14">
      <c r="K881" s="46"/>
      <c r="L881" s="46"/>
      <c r="M881" s="46"/>
      <c r="N881" s="46"/>
    </row>
    <row r="882" spans="11:14" ht="14">
      <c r="K882" s="46"/>
      <c r="L882" s="46"/>
      <c r="M882" s="46"/>
      <c r="N882" s="46"/>
    </row>
    <row r="883" spans="11:14" ht="14">
      <c r="K883" s="46"/>
      <c r="L883" s="46"/>
      <c r="M883" s="46"/>
      <c r="N883" s="46"/>
    </row>
    <row r="884" spans="11:14" ht="14">
      <c r="K884" s="46"/>
      <c r="L884" s="46"/>
      <c r="M884" s="46"/>
      <c r="N884" s="46"/>
    </row>
    <row r="885" spans="11:14" ht="14">
      <c r="K885" s="46"/>
      <c r="L885" s="46"/>
      <c r="M885" s="46"/>
      <c r="N885" s="46"/>
    </row>
    <row r="886" spans="11:14" ht="14">
      <c r="K886" s="46"/>
      <c r="L886" s="46"/>
      <c r="M886" s="46"/>
      <c r="N886" s="46"/>
    </row>
    <row r="887" spans="11:14" ht="14">
      <c r="K887" s="46"/>
      <c r="L887" s="46"/>
      <c r="M887" s="46"/>
      <c r="N887" s="46"/>
    </row>
    <row r="888" spans="11:14" ht="14">
      <c r="K888" s="46"/>
      <c r="L888" s="46"/>
      <c r="M888" s="46"/>
      <c r="N888" s="46"/>
    </row>
    <row r="889" spans="11:14" ht="14">
      <c r="K889" s="46"/>
      <c r="L889" s="46"/>
      <c r="M889" s="46"/>
      <c r="N889" s="46"/>
    </row>
    <row r="890" spans="11:14" ht="14">
      <c r="K890" s="46"/>
      <c r="L890" s="46"/>
      <c r="M890" s="46"/>
      <c r="N890" s="46"/>
    </row>
    <row r="891" spans="11:14" ht="14">
      <c r="K891" s="46"/>
      <c r="L891" s="46"/>
      <c r="M891" s="46"/>
      <c r="N891" s="46"/>
    </row>
    <row r="892" spans="11:14" ht="14">
      <c r="K892" s="46"/>
      <c r="L892" s="46"/>
      <c r="M892" s="46"/>
      <c r="N892" s="46"/>
    </row>
    <row r="893" spans="11:14" ht="14">
      <c r="K893" s="46"/>
      <c r="L893" s="46"/>
      <c r="M893" s="46"/>
      <c r="N893" s="46"/>
    </row>
    <row r="894" spans="11:14" ht="14">
      <c r="K894" s="46"/>
      <c r="L894" s="46"/>
      <c r="M894" s="46"/>
      <c r="N894" s="46"/>
    </row>
    <row r="895" spans="11:14" ht="14">
      <c r="K895" s="46"/>
      <c r="L895" s="46"/>
      <c r="M895" s="46"/>
      <c r="N895" s="46"/>
    </row>
    <row r="896" spans="11:14" ht="14">
      <c r="K896" s="46"/>
      <c r="L896" s="46"/>
      <c r="M896" s="46"/>
      <c r="N896" s="46"/>
    </row>
    <row r="897" spans="11:14" ht="14">
      <c r="K897" s="46"/>
      <c r="L897" s="46"/>
      <c r="M897" s="46"/>
      <c r="N897" s="46"/>
    </row>
    <row r="898" spans="11:14" ht="14">
      <c r="K898" s="46"/>
      <c r="L898" s="46"/>
      <c r="M898" s="46"/>
      <c r="N898" s="46"/>
    </row>
    <row r="899" spans="11:14" ht="14">
      <c r="K899" s="46"/>
      <c r="L899" s="46"/>
      <c r="M899" s="46"/>
      <c r="N899" s="46"/>
    </row>
    <row r="900" spans="11:14" ht="14">
      <c r="K900" s="46"/>
      <c r="L900" s="46"/>
      <c r="M900" s="46"/>
      <c r="N900" s="46"/>
    </row>
    <row r="901" spans="11:14" ht="14">
      <c r="K901" s="46"/>
      <c r="L901" s="46"/>
      <c r="M901" s="46"/>
      <c r="N901" s="46"/>
    </row>
    <row r="902" spans="11:14" ht="14">
      <c r="K902" s="46"/>
      <c r="L902" s="46"/>
      <c r="M902" s="46"/>
      <c r="N902" s="46"/>
    </row>
    <row r="903" spans="11:14" ht="14">
      <c r="K903" s="46"/>
      <c r="L903" s="46"/>
      <c r="M903" s="46"/>
      <c r="N903" s="46"/>
    </row>
    <row r="904" spans="11:14" ht="14">
      <c r="K904" s="46"/>
      <c r="L904" s="46"/>
      <c r="M904" s="46"/>
      <c r="N904" s="46"/>
    </row>
    <row r="905" spans="11:14" ht="14">
      <c r="K905" s="46"/>
      <c r="L905" s="46"/>
      <c r="M905" s="46"/>
      <c r="N905" s="46"/>
    </row>
    <row r="906" spans="11:14" ht="14">
      <c r="K906" s="46"/>
      <c r="L906" s="46"/>
      <c r="M906" s="46"/>
      <c r="N906" s="46"/>
    </row>
    <row r="907" spans="11:14" ht="14">
      <c r="K907" s="46"/>
      <c r="L907" s="46"/>
      <c r="M907" s="46"/>
      <c r="N907" s="46"/>
    </row>
    <row r="908" spans="11:14" ht="14">
      <c r="K908" s="46"/>
      <c r="L908" s="46"/>
      <c r="M908" s="46"/>
      <c r="N908" s="46"/>
    </row>
    <row r="909" spans="11:14" ht="14">
      <c r="K909" s="46"/>
      <c r="L909" s="46"/>
      <c r="M909" s="46"/>
      <c r="N909" s="46"/>
    </row>
    <row r="910" spans="11:14" ht="14">
      <c r="K910" s="46"/>
      <c r="L910" s="46"/>
      <c r="M910" s="46"/>
      <c r="N910" s="46"/>
    </row>
    <row r="911" spans="11:14" ht="14">
      <c r="K911" s="46"/>
      <c r="L911" s="46"/>
      <c r="M911" s="46"/>
      <c r="N911" s="46"/>
    </row>
    <row r="912" spans="11:14" ht="14">
      <c r="K912" s="46"/>
      <c r="L912" s="46"/>
      <c r="M912" s="46"/>
      <c r="N912" s="46"/>
    </row>
    <row r="913" spans="11:14" ht="14">
      <c r="K913" s="46"/>
      <c r="L913" s="46"/>
      <c r="M913" s="46"/>
      <c r="N913" s="46"/>
    </row>
    <row r="914" spans="11:14" ht="14">
      <c r="K914" s="46"/>
      <c r="L914" s="46"/>
      <c r="M914" s="46"/>
      <c r="N914" s="46"/>
    </row>
    <row r="915" spans="11:14" ht="14">
      <c r="K915" s="46"/>
      <c r="L915" s="46"/>
      <c r="M915" s="46"/>
      <c r="N915" s="46"/>
    </row>
    <row r="916" spans="11:14" ht="14">
      <c r="K916" s="46"/>
      <c r="L916" s="46"/>
      <c r="M916" s="46"/>
      <c r="N916" s="46"/>
    </row>
    <row r="917" spans="11:14" ht="14">
      <c r="K917" s="46"/>
      <c r="L917" s="46"/>
      <c r="M917" s="46"/>
      <c r="N917" s="46"/>
    </row>
    <row r="918" spans="11:14" ht="14">
      <c r="K918" s="46"/>
      <c r="L918" s="46"/>
      <c r="M918" s="46"/>
      <c r="N918" s="46"/>
    </row>
    <row r="919" spans="11:14" ht="14">
      <c r="K919" s="46"/>
      <c r="L919" s="46"/>
      <c r="M919" s="46"/>
      <c r="N919" s="46"/>
    </row>
    <row r="920" spans="11:14" ht="14">
      <c r="K920" s="46"/>
      <c r="L920" s="46"/>
      <c r="M920" s="46"/>
      <c r="N920" s="46"/>
    </row>
    <row r="921" spans="11:14" ht="14">
      <c r="K921" s="46"/>
      <c r="L921" s="46"/>
      <c r="M921" s="46"/>
      <c r="N921" s="46"/>
    </row>
    <row r="922" spans="11:14" ht="14">
      <c r="K922" s="46"/>
      <c r="L922" s="46"/>
      <c r="M922" s="46"/>
      <c r="N922" s="46"/>
    </row>
    <row r="923" spans="11:14" ht="14">
      <c r="K923" s="46"/>
      <c r="L923" s="46"/>
      <c r="M923" s="46"/>
      <c r="N923" s="46"/>
    </row>
    <row r="924" spans="11:14" ht="14">
      <c r="K924" s="46"/>
      <c r="L924" s="46"/>
      <c r="M924" s="46"/>
      <c r="N924" s="46"/>
    </row>
    <row r="925" spans="11:14" ht="14">
      <c r="K925" s="46"/>
      <c r="L925" s="46"/>
      <c r="M925" s="46"/>
      <c r="N925" s="46"/>
    </row>
    <row r="926" spans="11:14" ht="14">
      <c r="K926" s="46"/>
      <c r="L926" s="46"/>
      <c r="M926" s="46"/>
      <c r="N926" s="46"/>
    </row>
    <row r="927" spans="11:14" ht="14">
      <c r="K927" s="46"/>
      <c r="L927" s="46"/>
      <c r="M927" s="46"/>
      <c r="N927" s="46"/>
    </row>
    <row r="928" spans="11:14" ht="14">
      <c r="K928" s="46"/>
      <c r="L928" s="46"/>
      <c r="M928" s="46"/>
      <c r="N928" s="46"/>
    </row>
    <row r="929" spans="11:14" ht="14">
      <c r="K929" s="46"/>
      <c r="L929" s="46"/>
      <c r="M929" s="46"/>
      <c r="N929" s="46"/>
    </row>
    <row r="930" spans="11:14" ht="14">
      <c r="K930" s="46"/>
      <c r="L930" s="46"/>
      <c r="M930" s="46"/>
      <c r="N930" s="46"/>
    </row>
    <row r="931" spans="11:14" ht="14">
      <c r="K931" s="46"/>
      <c r="L931" s="46"/>
      <c r="M931" s="46"/>
      <c r="N931" s="46"/>
    </row>
    <row r="932" spans="11:14" ht="14">
      <c r="K932" s="46"/>
      <c r="L932" s="46"/>
      <c r="M932" s="46"/>
      <c r="N932" s="46"/>
    </row>
    <row r="933" spans="11:14" ht="14">
      <c r="K933" s="46"/>
      <c r="L933" s="46"/>
      <c r="M933" s="46"/>
      <c r="N933" s="46"/>
    </row>
    <row r="934" spans="11:14" ht="14">
      <c r="K934" s="46"/>
      <c r="L934" s="46"/>
      <c r="M934" s="46"/>
      <c r="N934" s="46"/>
    </row>
    <row r="935" spans="11:14" ht="14">
      <c r="K935" s="46"/>
      <c r="L935" s="46"/>
      <c r="M935" s="46"/>
      <c r="N935" s="46"/>
    </row>
    <row r="936" spans="11:14" ht="14">
      <c r="K936" s="46"/>
      <c r="L936" s="46"/>
      <c r="M936" s="46"/>
      <c r="N936" s="46"/>
    </row>
    <row r="937" spans="11:14" ht="14">
      <c r="K937" s="46"/>
      <c r="L937" s="46"/>
      <c r="M937" s="46"/>
      <c r="N937" s="46"/>
    </row>
    <row r="938" spans="11:14" ht="14">
      <c r="K938" s="46"/>
      <c r="L938" s="46"/>
      <c r="M938" s="46"/>
      <c r="N938" s="46"/>
    </row>
    <row r="939" spans="11:14" ht="14">
      <c r="K939" s="46"/>
      <c r="L939" s="46"/>
      <c r="M939" s="46"/>
      <c r="N939" s="46"/>
    </row>
    <row r="940" spans="11:14" ht="14">
      <c r="K940" s="46"/>
      <c r="L940" s="46"/>
      <c r="M940" s="46"/>
      <c r="N940" s="46"/>
    </row>
    <row r="941" spans="11:14" ht="14">
      <c r="K941" s="46"/>
      <c r="L941" s="46"/>
      <c r="M941" s="46"/>
      <c r="N941" s="46"/>
    </row>
    <row r="942" spans="11:14" ht="14">
      <c r="K942" s="46"/>
      <c r="L942" s="46"/>
      <c r="M942" s="46"/>
      <c r="N942" s="46"/>
    </row>
    <row r="943" spans="11:14" ht="14">
      <c r="K943" s="46"/>
      <c r="L943" s="46"/>
      <c r="M943" s="46"/>
      <c r="N943" s="46"/>
    </row>
    <row r="944" spans="11:14" ht="14">
      <c r="K944" s="46"/>
      <c r="L944" s="46"/>
      <c r="M944" s="46"/>
      <c r="N944" s="46"/>
    </row>
    <row r="945" spans="11:14" ht="14">
      <c r="K945" s="46"/>
      <c r="L945" s="46"/>
      <c r="M945" s="46"/>
      <c r="N945" s="46"/>
    </row>
    <row r="946" spans="11:14" ht="14">
      <c r="K946" s="46"/>
      <c r="L946" s="46"/>
      <c r="M946" s="46"/>
      <c r="N946" s="46"/>
    </row>
    <row r="947" spans="11:14" ht="14">
      <c r="K947" s="46"/>
      <c r="L947" s="46"/>
      <c r="M947" s="46"/>
      <c r="N947" s="46"/>
    </row>
    <row r="948" spans="11:14" ht="14">
      <c r="K948" s="46"/>
      <c r="L948" s="46"/>
      <c r="M948" s="46"/>
      <c r="N948" s="46"/>
    </row>
    <row r="949" spans="11:14" ht="14">
      <c r="K949" s="46"/>
      <c r="L949" s="46"/>
      <c r="M949" s="46"/>
      <c r="N949" s="46"/>
    </row>
    <row r="950" spans="11:14" ht="14">
      <c r="K950" s="46"/>
      <c r="L950" s="46"/>
      <c r="M950" s="46"/>
      <c r="N950" s="46"/>
    </row>
    <row r="951" spans="11:14" ht="14">
      <c r="K951" s="46"/>
      <c r="L951" s="46"/>
      <c r="M951" s="46"/>
      <c r="N951" s="46"/>
    </row>
    <row r="952" spans="11:14" ht="14">
      <c r="K952" s="46"/>
      <c r="L952" s="46"/>
      <c r="M952" s="46"/>
      <c r="N952" s="46"/>
    </row>
    <row r="953" spans="11:14" ht="14">
      <c r="K953" s="46"/>
      <c r="L953" s="46"/>
      <c r="M953" s="46"/>
      <c r="N953" s="46"/>
    </row>
    <row r="954" spans="11:14" ht="14">
      <c r="K954" s="46"/>
      <c r="L954" s="46"/>
      <c r="M954" s="46"/>
      <c r="N954" s="46"/>
    </row>
    <row r="955" spans="11:14" ht="14">
      <c r="K955" s="46"/>
      <c r="L955" s="46"/>
      <c r="M955" s="46"/>
      <c r="N955" s="46"/>
    </row>
    <row r="956" spans="11:14" ht="14">
      <c r="K956" s="46"/>
      <c r="L956" s="46"/>
      <c r="M956" s="46"/>
      <c r="N956" s="46"/>
    </row>
    <row r="957" spans="11:14" ht="14">
      <c r="K957" s="46"/>
      <c r="L957" s="46"/>
      <c r="M957" s="46"/>
      <c r="N957" s="46"/>
    </row>
    <row r="958" spans="11:14" ht="14">
      <c r="K958" s="46"/>
      <c r="L958" s="46"/>
      <c r="M958" s="46"/>
      <c r="N958" s="46"/>
    </row>
    <row r="959" spans="11:14" ht="14">
      <c r="K959" s="46"/>
      <c r="L959" s="46"/>
      <c r="M959" s="46"/>
      <c r="N959" s="46"/>
    </row>
    <row r="960" spans="11:14" ht="14">
      <c r="K960" s="46"/>
      <c r="L960" s="46"/>
      <c r="M960" s="46"/>
      <c r="N960" s="46"/>
    </row>
    <row r="961" spans="11:14" ht="14">
      <c r="K961" s="46"/>
      <c r="L961" s="46"/>
      <c r="M961" s="46"/>
      <c r="N961" s="46"/>
    </row>
    <row r="962" spans="11:14" ht="14">
      <c r="K962" s="46"/>
      <c r="L962" s="46"/>
      <c r="M962" s="46"/>
      <c r="N962" s="46"/>
    </row>
    <row r="963" spans="11:14" ht="14">
      <c r="K963" s="46"/>
      <c r="L963" s="46"/>
      <c r="M963" s="46"/>
      <c r="N963" s="46"/>
    </row>
    <row r="964" spans="11:14" ht="14">
      <c r="K964" s="46"/>
      <c r="L964" s="46"/>
      <c r="M964" s="46"/>
      <c r="N964" s="46"/>
    </row>
    <row r="965" spans="11:14" ht="14">
      <c r="K965" s="46"/>
      <c r="L965" s="46"/>
      <c r="M965" s="46"/>
      <c r="N965" s="46"/>
    </row>
    <row r="966" spans="11:14" ht="14">
      <c r="K966" s="46"/>
      <c r="L966" s="46"/>
      <c r="M966" s="46"/>
      <c r="N966" s="46"/>
    </row>
    <row r="967" spans="11:14" ht="14">
      <c r="K967" s="46"/>
      <c r="L967" s="46"/>
      <c r="M967" s="46"/>
      <c r="N967" s="46"/>
    </row>
    <row r="968" spans="11:14" ht="14">
      <c r="K968" s="46"/>
      <c r="L968" s="46"/>
      <c r="M968" s="46"/>
      <c r="N968" s="46"/>
    </row>
    <row r="969" spans="11:14" ht="14">
      <c r="K969" s="46"/>
      <c r="L969" s="46"/>
      <c r="M969" s="46"/>
      <c r="N969" s="46"/>
    </row>
    <row r="970" spans="11:14" ht="14">
      <c r="K970" s="46"/>
      <c r="L970" s="46"/>
      <c r="M970" s="46"/>
      <c r="N970" s="46"/>
    </row>
    <row r="971" spans="11:14" ht="14">
      <c r="K971" s="46"/>
      <c r="L971" s="46"/>
      <c r="M971" s="46"/>
      <c r="N971" s="46"/>
    </row>
    <row r="972" spans="11:14" ht="14">
      <c r="K972" s="46"/>
      <c r="L972" s="46"/>
      <c r="M972" s="46"/>
      <c r="N972" s="46"/>
    </row>
    <row r="973" spans="11:14" ht="14">
      <c r="K973" s="46"/>
      <c r="L973" s="46"/>
      <c r="M973" s="46"/>
      <c r="N973" s="46"/>
    </row>
    <row r="974" spans="11:14" ht="14">
      <c r="K974" s="46"/>
      <c r="L974" s="46"/>
      <c r="M974" s="46"/>
      <c r="N974" s="46"/>
    </row>
    <row r="975" spans="11:14" ht="14">
      <c r="K975" s="46"/>
      <c r="L975" s="46"/>
      <c r="M975" s="46"/>
      <c r="N975" s="46"/>
    </row>
    <row r="976" spans="11:14" ht="14">
      <c r="K976" s="46"/>
      <c r="L976" s="46"/>
      <c r="M976" s="46"/>
      <c r="N976" s="46"/>
    </row>
    <row r="977" spans="11:14" ht="14">
      <c r="K977" s="46"/>
      <c r="L977" s="46"/>
      <c r="M977" s="46"/>
      <c r="N977" s="46"/>
    </row>
    <row r="978" spans="11:14" ht="14">
      <c r="K978" s="46"/>
      <c r="L978" s="46"/>
      <c r="M978" s="46"/>
      <c r="N978" s="46"/>
    </row>
    <row r="979" spans="11:14" ht="14">
      <c r="K979" s="46"/>
      <c r="L979" s="46"/>
      <c r="M979" s="46"/>
      <c r="N979" s="46"/>
    </row>
    <row r="980" spans="11:14" ht="14">
      <c r="K980" s="46"/>
      <c r="L980" s="46"/>
      <c r="M980" s="46"/>
      <c r="N980" s="46"/>
    </row>
    <row r="981" spans="11:14" ht="14">
      <c r="K981" s="46"/>
      <c r="L981" s="46"/>
      <c r="M981" s="46"/>
      <c r="N981" s="46"/>
    </row>
    <row r="982" spans="11:14" ht="14">
      <c r="K982" s="46"/>
      <c r="L982" s="46"/>
      <c r="M982" s="46"/>
      <c r="N982" s="46"/>
    </row>
    <row r="983" spans="11:14" ht="14">
      <c r="K983" s="46"/>
      <c r="L983" s="46"/>
      <c r="M983" s="46"/>
      <c r="N983" s="46"/>
    </row>
    <row r="984" spans="11:14" ht="14">
      <c r="K984" s="46"/>
      <c r="L984" s="46"/>
      <c r="M984" s="46"/>
      <c r="N984" s="46"/>
    </row>
    <row r="985" spans="11:14" ht="14">
      <c r="K985" s="46"/>
      <c r="L985" s="46"/>
      <c r="M985" s="46"/>
      <c r="N985" s="46"/>
    </row>
    <row r="986" spans="11:14" ht="14">
      <c r="K986" s="46"/>
      <c r="L986" s="46"/>
      <c r="M986" s="46"/>
      <c r="N986" s="46"/>
    </row>
    <row r="987" spans="11:14" ht="14">
      <c r="K987" s="46"/>
      <c r="L987" s="46"/>
      <c r="M987" s="46"/>
      <c r="N987" s="46"/>
    </row>
    <row r="988" spans="11:14" ht="14">
      <c r="K988" s="46"/>
      <c r="L988" s="46"/>
      <c r="M988" s="46"/>
      <c r="N988" s="4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 1C</vt:lpstr>
      <vt:lpstr>Fig 1D</vt:lpstr>
      <vt:lpstr>Fig 1E</vt:lpstr>
      <vt:lpstr>Fig 1F</vt:lpstr>
      <vt:lpstr>Fig 2, S1</vt:lpstr>
      <vt:lpstr>Table 1</vt:lpstr>
      <vt:lpstr>Fig 3, S2</vt:lpstr>
      <vt:lpstr>Fig 5</vt:lpstr>
      <vt:lpstr>Fig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Linna Han</cp:lastModifiedBy>
  <dcterms:created xsi:type="dcterms:W3CDTF">2020-12-21T20:43:20Z</dcterms:created>
  <dcterms:modified xsi:type="dcterms:W3CDTF">2026-03-27T19:17:50Z</dcterms:modified>
</cp:coreProperties>
</file>